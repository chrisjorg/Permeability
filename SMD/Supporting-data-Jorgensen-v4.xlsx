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hrisjorg/Dropbox/SMD_BBB_paper/ACS_SUBMISSION/"/>
    </mc:Choice>
  </mc:AlternateContent>
  <xr:revisionPtr revIDLastSave="0" documentId="13_ncr:1_{552B7708-2AEF-E34B-90F8-54ACDAC60E4B}" xr6:coauthVersionLast="47" xr6:coauthVersionMax="47" xr10:uidLastSave="{00000000-0000-0000-0000-000000000000}"/>
  <bookViews>
    <workbookView xWindow="2860" yWindow="760" windowWidth="27380" windowHeight="17720" xr2:uid="{95E7E61C-37CF-0648-9422-8017CDA4C4C8}"/>
  </bookViews>
  <sheets>
    <sheet name="Permeability_350_500ns_50000lag" sheetId="11" r:id="rId1"/>
    <sheet name="PMF Convergence" sheetId="6" r:id="rId2"/>
    <sheet name="Benchmark" sheetId="9" r:id="rId3"/>
    <sheet name="Permeability_350_400ns_10000lag" sheetId="8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3" i="9" l="1"/>
  <c r="A4" i="9"/>
  <c r="U77" i="8"/>
  <c r="U58" i="8"/>
  <c r="U51" i="8"/>
  <c r="AH57" i="11" l="1"/>
  <c r="AI57" i="11" s="1"/>
  <c r="Y5" i="11"/>
  <c r="AH53" i="11" s="1"/>
  <c r="AI53" i="11" s="1"/>
  <c r="Y6" i="11"/>
  <c r="AH54" i="11" s="1"/>
  <c r="AI54" i="11" s="1"/>
  <c r="Y7" i="11"/>
  <c r="AH55" i="11" s="1"/>
  <c r="AI55" i="11" s="1"/>
  <c r="Y8" i="11"/>
  <c r="AH56" i="11" s="1"/>
  <c r="AI56" i="11" s="1"/>
  <c r="Y10" i="11"/>
  <c r="AH58" i="11" s="1"/>
  <c r="AI58" i="11" s="1"/>
  <c r="Y11" i="11"/>
  <c r="AH59" i="11" s="1"/>
  <c r="AI59" i="11" s="1"/>
  <c r="Y12" i="11"/>
  <c r="AH60" i="11" s="1"/>
  <c r="AI60" i="11" s="1"/>
  <c r="Y13" i="11"/>
  <c r="AH61" i="11" s="1"/>
  <c r="AI61" i="11" s="1"/>
  <c r="Y14" i="11"/>
  <c r="AH62" i="11" s="1"/>
  <c r="AI62" i="11" s="1"/>
  <c r="Y15" i="11"/>
  <c r="AH63" i="11" s="1"/>
  <c r="AI63" i="11" s="1"/>
  <c r="Y16" i="11"/>
  <c r="AH64" i="11" s="1"/>
  <c r="AI64" i="11" s="1"/>
  <c r="Y17" i="11"/>
  <c r="AH65" i="11" s="1"/>
  <c r="AI65" i="11" s="1"/>
  <c r="Y18" i="11"/>
  <c r="AH66" i="11" s="1"/>
  <c r="AI66" i="11" s="1"/>
  <c r="Y19" i="11"/>
  <c r="AH67" i="11" s="1"/>
  <c r="AI67" i="11" s="1"/>
  <c r="Y20" i="11"/>
  <c r="AH68" i="11" s="1"/>
  <c r="AI68" i="11" s="1"/>
  <c r="Y21" i="11"/>
  <c r="AH69" i="11" s="1"/>
  <c r="AI69" i="11" s="1"/>
  <c r="Y22" i="11"/>
  <c r="AH70" i="11" s="1"/>
  <c r="AI70" i="11" s="1"/>
  <c r="Y23" i="11"/>
  <c r="AH71" i="11" s="1"/>
  <c r="AI71" i="11" s="1"/>
  <c r="Y24" i="11"/>
  <c r="AH72" i="11" s="1"/>
  <c r="AI72" i="11" s="1"/>
  <c r="Y25" i="11"/>
  <c r="AH73" i="11" s="1"/>
  <c r="AI73" i="11" s="1"/>
  <c r="Y26" i="11"/>
  <c r="AH74" i="11" s="1"/>
  <c r="AI74" i="11" s="1"/>
  <c r="Y27" i="11"/>
  <c r="AH75" i="11" s="1"/>
  <c r="AI75" i="11" s="1"/>
  <c r="Y28" i="11"/>
  <c r="AH76" i="11" s="1"/>
  <c r="AI76" i="11" s="1"/>
  <c r="Y29" i="11"/>
  <c r="AH77" i="11" s="1"/>
  <c r="AI77" i="11" s="1"/>
  <c r="Y30" i="11"/>
  <c r="AH78" i="11" s="1"/>
  <c r="AI78" i="11" s="1"/>
  <c r="Y31" i="11"/>
  <c r="AH79" i="11" s="1"/>
  <c r="AI79" i="11" s="1"/>
  <c r="Y32" i="11"/>
  <c r="AH80" i="11" s="1"/>
  <c r="AI80" i="11" s="1"/>
  <c r="Y33" i="11"/>
  <c r="AH81" i="11" s="1"/>
  <c r="AI81" i="11" s="1"/>
  <c r="Y34" i="11"/>
  <c r="AH82" i="11" s="1"/>
  <c r="AI82" i="11" s="1"/>
  <c r="Y35" i="11"/>
  <c r="AH83" i="11" s="1"/>
  <c r="AI83" i="11" s="1"/>
  <c r="Y36" i="11"/>
  <c r="AH84" i="11" s="1"/>
  <c r="AI84" i="11" s="1"/>
  <c r="Y37" i="11"/>
  <c r="AH85" i="11" s="1"/>
  <c r="AI85" i="11" s="1"/>
  <c r="Y38" i="11"/>
  <c r="AH86" i="11" s="1"/>
  <c r="AI86" i="11" s="1"/>
  <c r="Y39" i="11"/>
  <c r="AH87" i="11" s="1"/>
  <c r="AI87" i="11" s="1"/>
  <c r="Y40" i="11"/>
  <c r="AH88" i="11" s="1"/>
  <c r="AI88" i="11" s="1"/>
  <c r="Y41" i="11"/>
  <c r="AH89" i="11" s="1"/>
  <c r="AI89" i="11" s="1"/>
  <c r="Y42" i="11"/>
  <c r="AH90" i="11" s="1"/>
  <c r="AI90" i="11" s="1"/>
  <c r="Y43" i="11"/>
  <c r="AH91" i="11" s="1"/>
  <c r="AI91" i="11" s="1"/>
  <c r="Y4" i="11"/>
  <c r="AH52" i="11" s="1"/>
  <c r="AI52" i="11" s="1"/>
  <c r="D6" i="11"/>
  <c r="I52" i="11" s="1"/>
  <c r="D7" i="11"/>
  <c r="I53" i="11" s="1"/>
  <c r="D8" i="11"/>
  <c r="I54" i="11" s="1"/>
  <c r="D9" i="11"/>
  <c r="I55" i="11" s="1"/>
  <c r="D10" i="11"/>
  <c r="I56" i="11" s="1"/>
  <c r="D11" i="11"/>
  <c r="I57" i="11" s="1"/>
  <c r="D12" i="11"/>
  <c r="I58" i="11" s="1"/>
  <c r="D13" i="11"/>
  <c r="I59" i="11" s="1"/>
  <c r="D14" i="11"/>
  <c r="I60" i="11" s="1"/>
  <c r="D15" i="11"/>
  <c r="I61" i="11" s="1"/>
  <c r="D16" i="11"/>
  <c r="I62" i="11" s="1"/>
  <c r="D17" i="11"/>
  <c r="I63" i="11" s="1"/>
  <c r="D18" i="11"/>
  <c r="I64" i="11" s="1"/>
  <c r="D19" i="11"/>
  <c r="I65" i="11" s="1"/>
  <c r="D20" i="11"/>
  <c r="I66" i="11" s="1"/>
  <c r="D21" i="11"/>
  <c r="I67" i="11" s="1"/>
  <c r="D22" i="11"/>
  <c r="I68" i="11" s="1"/>
  <c r="D23" i="11"/>
  <c r="I69" i="11" s="1"/>
  <c r="D24" i="11"/>
  <c r="I70" i="11" s="1"/>
  <c r="D25" i="11"/>
  <c r="I71" i="11" s="1"/>
  <c r="D26" i="11"/>
  <c r="I72" i="11" s="1"/>
  <c r="D27" i="11"/>
  <c r="I73" i="11" s="1"/>
  <c r="D28" i="11"/>
  <c r="I74" i="11" s="1"/>
  <c r="D29" i="11"/>
  <c r="I75" i="11" s="1"/>
  <c r="D30" i="11"/>
  <c r="I76" i="11" s="1"/>
  <c r="D31" i="11"/>
  <c r="I77" i="11" s="1"/>
  <c r="D32" i="11"/>
  <c r="I78" i="11" s="1"/>
  <c r="D33" i="11"/>
  <c r="I79" i="11" s="1"/>
  <c r="D34" i="11"/>
  <c r="I80" i="11" s="1"/>
  <c r="D35" i="11"/>
  <c r="I81" i="11" s="1"/>
  <c r="D36" i="11"/>
  <c r="I82" i="11" s="1"/>
  <c r="D37" i="11"/>
  <c r="I83" i="11" s="1"/>
  <c r="D38" i="11"/>
  <c r="I84" i="11" s="1"/>
  <c r="D39" i="11"/>
  <c r="I85" i="11" s="1"/>
  <c r="D40" i="11"/>
  <c r="I86" i="11" s="1"/>
  <c r="D41" i="11"/>
  <c r="I87" i="11" s="1"/>
  <c r="D42" i="11"/>
  <c r="I88" i="11" s="1"/>
  <c r="D43" i="11"/>
  <c r="I89" i="11" s="1"/>
  <c r="D5" i="11"/>
  <c r="I51" i="11" s="1"/>
  <c r="C4" i="9" l="1"/>
  <c r="A2" i="9"/>
  <c r="C3" i="9"/>
  <c r="C2" i="9"/>
  <c r="AB86" i="11"/>
  <c r="AD86" i="11" s="1"/>
  <c r="AB76" i="11"/>
  <c r="AD76" i="11" s="1"/>
  <c r="AB55" i="11"/>
  <c r="AD55" i="11" s="1"/>
  <c r="AD73" i="11"/>
  <c r="AB91" i="11"/>
  <c r="AD91" i="11" s="1"/>
  <c r="AB90" i="11"/>
  <c r="AD90" i="11" s="1"/>
  <c r="AB89" i="11"/>
  <c r="AD89" i="11" s="1"/>
  <c r="Q89" i="11"/>
  <c r="S89" i="11" s="1"/>
  <c r="J89" i="11"/>
  <c r="C89" i="11"/>
  <c r="E89" i="11" s="1"/>
  <c r="AB88" i="11"/>
  <c r="AD88" i="11" s="1"/>
  <c r="Q88" i="11"/>
  <c r="S88" i="11" s="1"/>
  <c r="J88" i="11"/>
  <c r="C88" i="11"/>
  <c r="E88" i="11" s="1"/>
  <c r="AB87" i="11"/>
  <c r="AD87" i="11" s="1"/>
  <c r="Q87" i="11"/>
  <c r="S87" i="11" s="1"/>
  <c r="J87" i="11"/>
  <c r="C87" i="11"/>
  <c r="E87" i="11" s="1"/>
  <c r="Q86" i="11"/>
  <c r="S86" i="11" s="1"/>
  <c r="J86" i="11"/>
  <c r="C86" i="11"/>
  <c r="E86" i="11" s="1"/>
  <c r="AB85" i="11"/>
  <c r="AD85" i="11" s="1"/>
  <c r="Q85" i="11"/>
  <c r="S85" i="11" s="1"/>
  <c r="J85" i="11"/>
  <c r="C85" i="11"/>
  <c r="E85" i="11" s="1"/>
  <c r="AB84" i="11"/>
  <c r="AD84" i="11" s="1"/>
  <c r="Q84" i="11"/>
  <c r="S84" i="11" s="1"/>
  <c r="J84" i="11"/>
  <c r="C84" i="11"/>
  <c r="E84" i="11" s="1"/>
  <c r="AB83" i="11"/>
  <c r="AD83" i="11" s="1"/>
  <c r="Q83" i="11"/>
  <c r="S83" i="11" s="1"/>
  <c r="J83" i="11"/>
  <c r="C83" i="11"/>
  <c r="E83" i="11" s="1"/>
  <c r="AB82" i="11"/>
  <c r="AD82" i="11" s="1"/>
  <c r="Q82" i="11"/>
  <c r="S82" i="11" s="1"/>
  <c r="J82" i="11"/>
  <c r="C82" i="11"/>
  <c r="E82" i="11" s="1"/>
  <c r="AB81" i="11"/>
  <c r="AD81" i="11" s="1"/>
  <c r="Q81" i="11"/>
  <c r="S81" i="11" s="1"/>
  <c r="J81" i="11"/>
  <c r="C81" i="11"/>
  <c r="E81" i="11" s="1"/>
  <c r="AB80" i="11"/>
  <c r="AD80" i="11" s="1"/>
  <c r="Q80" i="11"/>
  <c r="S80" i="11" s="1"/>
  <c r="J80" i="11"/>
  <c r="C80" i="11"/>
  <c r="E80" i="11" s="1"/>
  <c r="AB79" i="11"/>
  <c r="AD79" i="11" s="1"/>
  <c r="Q79" i="11"/>
  <c r="S79" i="11" s="1"/>
  <c r="J79" i="11"/>
  <c r="C79" i="11"/>
  <c r="E79" i="11" s="1"/>
  <c r="AB78" i="11"/>
  <c r="AD78" i="11" s="1"/>
  <c r="Q78" i="11"/>
  <c r="S78" i="11" s="1"/>
  <c r="J78" i="11"/>
  <c r="C78" i="11"/>
  <c r="E78" i="11" s="1"/>
  <c r="AB77" i="11"/>
  <c r="AD77" i="11" s="1"/>
  <c r="Q77" i="11"/>
  <c r="S77" i="11" s="1"/>
  <c r="J77" i="11"/>
  <c r="C77" i="11"/>
  <c r="E77" i="11" s="1"/>
  <c r="Q76" i="11"/>
  <c r="S76" i="11" s="1"/>
  <c r="J76" i="11"/>
  <c r="C76" i="11"/>
  <c r="E76" i="11" s="1"/>
  <c r="AB75" i="11"/>
  <c r="AD75" i="11" s="1"/>
  <c r="Q75" i="11"/>
  <c r="S75" i="11" s="1"/>
  <c r="J75" i="11"/>
  <c r="C75" i="11"/>
  <c r="E75" i="11" s="1"/>
  <c r="AB74" i="11"/>
  <c r="AD74" i="11" s="1"/>
  <c r="Q74" i="11"/>
  <c r="S74" i="11" s="1"/>
  <c r="J74" i="11"/>
  <c r="C74" i="11"/>
  <c r="E74" i="11" s="1"/>
  <c r="AB73" i="11"/>
  <c r="Q73" i="11"/>
  <c r="S73" i="11" s="1"/>
  <c r="J73" i="11"/>
  <c r="C73" i="11"/>
  <c r="E73" i="11" s="1"/>
  <c r="AB72" i="11"/>
  <c r="AD72" i="11" s="1"/>
  <c r="Q72" i="11"/>
  <c r="S72" i="11" s="1"/>
  <c r="J72" i="11"/>
  <c r="C72" i="11"/>
  <c r="E72" i="11" s="1"/>
  <c r="AB71" i="11"/>
  <c r="AD71" i="11" s="1"/>
  <c r="Q71" i="11"/>
  <c r="S71" i="11" s="1"/>
  <c r="J71" i="11"/>
  <c r="C71" i="11"/>
  <c r="E71" i="11" s="1"/>
  <c r="AB70" i="11"/>
  <c r="AD70" i="11" s="1"/>
  <c r="Q70" i="11"/>
  <c r="S70" i="11" s="1"/>
  <c r="J70" i="11"/>
  <c r="C70" i="11"/>
  <c r="E70" i="11" s="1"/>
  <c r="AB69" i="11"/>
  <c r="AD69" i="11" s="1"/>
  <c r="Q69" i="11"/>
  <c r="S69" i="11" s="1"/>
  <c r="J69" i="11"/>
  <c r="C69" i="11"/>
  <c r="E69" i="11" s="1"/>
  <c r="AB68" i="11"/>
  <c r="AD68" i="11" s="1"/>
  <c r="Q68" i="11"/>
  <c r="S68" i="11" s="1"/>
  <c r="J68" i="11"/>
  <c r="C68" i="11"/>
  <c r="E68" i="11" s="1"/>
  <c r="AB67" i="11"/>
  <c r="AD67" i="11" s="1"/>
  <c r="Q67" i="11"/>
  <c r="S67" i="11" s="1"/>
  <c r="J67" i="11"/>
  <c r="C67" i="11"/>
  <c r="E67" i="11" s="1"/>
  <c r="AB66" i="11"/>
  <c r="AD66" i="11" s="1"/>
  <c r="Q66" i="11"/>
  <c r="S66" i="11" s="1"/>
  <c r="J66" i="11"/>
  <c r="C66" i="11"/>
  <c r="E66" i="11" s="1"/>
  <c r="AB65" i="11"/>
  <c r="AD65" i="11" s="1"/>
  <c r="Q65" i="11"/>
  <c r="S65" i="11" s="1"/>
  <c r="J65" i="11"/>
  <c r="C65" i="11"/>
  <c r="E65" i="11" s="1"/>
  <c r="AB64" i="11"/>
  <c r="AD64" i="11" s="1"/>
  <c r="Q64" i="11"/>
  <c r="S64" i="11" s="1"/>
  <c r="J64" i="11"/>
  <c r="C64" i="11"/>
  <c r="E64" i="11" s="1"/>
  <c r="AB63" i="11"/>
  <c r="AD63" i="11" s="1"/>
  <c r="Q63" i="11"/>
  <c r="S63" i="11" s="1"/>
  <c r="J63" i="11"/>
  <c r="C63" i="11"/>
  <c r="E63" i="11" s="1"/>
  <c r="AB62" i="11"/>
  <c r="AD62" i="11" s="1"/>
  <c r="Q62" i="11"/>
  <c r="S62" i="11" s="1"/>
  <c r="J62" i="11"/>
  <c r="C62" i="11"/>
  <c r="E62" i="11" s="1"/>
  <c r="AB61" i="11"/>
  <c r="AD61" i="11" s="1"/>
  <c r="Q61" i="11"/>
  <c r="S61" i="11" s="1"/>
  <c r="J61" i="11"/>
  <c r="C61" i="11"/>
  <c r="E61" i="11" s="1"/>
  <c r="AB60" i="11"/>
  <c r="AD60" i="11" s="1"/>
  <c r="Q60" i="11"/>
  <c r="S60" i="11" s="1"/>
  <c r="J60" i="11"/>
  <c r="C60" i="11"/>
  <c r="E60" i="11" s="1"/>
  <c r="AB59" i="11"/>
  <c r="AD59" i="11" s="1"/>
  <c r="Q59" i="11"/>
  <c r="S59" i="11" s="1"/>
  <c r="J59" i="11"/>
  <c r="C59" i="11"/>
  <c r="E59" i="11" s="1"/>
  <c r="AB58" i="11"/>
  <c r="AD58" i="11" s="1"/>
  <c r="Q58" i="11"/>
  <c r="S58" i="11" s="1"/>
  <c r="J58" i="11"/>
  <c r="C58" i="11"/>
  <c r="E58" i="11" s="1"/>
  <c r="AB57" i="11"/>
  <c r="AD57" i="11" s="1"/>
  <c r="Q57" i="11"/>
  <c r="S57" i="11" s="1"/>
  <c r="J57" i="11"/>
  <c r="C57" i="11"/>
  <c r="E57" i="11" s="1"/>
  <c r="AB56" i="11"/>
  <c r="AD56" i="11" s="1"/>
  <c r="Q56" i="11"/>
  <c r="S56" i="11" s="1"/>
  <c r="J56" i="11"/>
  <c r="C56" i="11"/>
  <c r="E56" i="11" s="1"/>
  <c r="Q55" i="11"/>
  <c r="S55" i="11" s="1"/>
  <c r="J55" i="11"/>
  <c r="C55" i="11"/>
  <c r="E55" i="11" s="1"/>
  <c r="AB54" i="11"/>
  <c r="AD54" i="11" s="1"/>
  <c r="Q54" i="11"/>
  <c r="S54" i="11" s="1"/>
  <c r="J54" i="11"/>
  <c r="C54" i="11"/>
  <c r="E54" i="11" s="1"/>
  <c r="AB53" i="11"/>
  <c r="AD53" i="11" s="1"/>
  <c r="Q53" i="11"/>
  <c r="S53" i="11" s="1"/>
  <c r="J53" i="11"/>
  <c r="C53" i="11"/>
  <c r="E53" i="11" s="1"/>
  <c r="AB52" i="11"/>
  <c r="AD52" i="11" s="1"/>
  <c r="Q52" i="11"/>
  <c r="S52" i="11" s="1"/>
  <c r="J52" i="11"/>
  <c r="C52" i="11"/>
  <c r="E52" i="11" s="1"/>
  <c r="Q51" i="11"/>
  <c r="S51" i="11" s="1"/>
  <c r="J51" i="11"/>
  <c r="C51" i="11"/>
  <c r="E51" i="11" s="1"/>
  <c r="O47" i="11"/>
  <c r="A47" i="11"/>
  <c r="U66" i="11" l="1"/>
  <c r="AF91" i="11"/>
  <c r="AF52" i="11"/>
  <c r="AF54" i="11"/>
  <c r="AF56" i="11"/>
  <c r="AF58" i="11"/>
  <c r="AF60" i="11"/>
  <c r="AF62" i="11"/>
  <c r="U70" i="11"/>
  <c r="T70" i="11" s="1"/>
  <c r="U78" i="11"/>
  <c r="T78" i="11" s="1"/>
  <c r="U88" i="11"/>
  <c r="U89" i="11" s="1"/>
  <c r="U51" i="11"/>
  <c r="T51" i="11" s="1"/>
  <c r="U63" i="11"/>
  <c r="T63" i="11" s="1"/>
  <c r="T66" i="11"/>
  <c r="U67" i="11"/>
  <c r="T67" i="11" s="1"/>
  <c r="U53" i="11"/>
  <c r="T53" i="11" s="1"/>
  <c r="U55" i="11"/>
  <c r="T55" i="11" s="1"/>
  <c r="U57" i="11"/>
  <c r="T57" i="11" s="1"/>
  <c r="U59" i="11"/>
  <c r="T59" i="11" s="1"/>
  <c r="U61" i="11"/>
  <c r="T61" i="11" s="1"/>
  <c r="AF89" i="11"/>
  <c r="AF88" i="11"/>
  <c r="AF87" i="11"/>
  <c r="AF86" i="11"/>
  <c r="AF85" i="11"/>
  <c r="AF84" i="11"/>
  <c r="AF83" i="11"/>
  <c r="AF82" i="11"/>
  <c r="AF81" i="11"/>
  <c r="AF80" i="11"/>
  <c r="AF79" i="11"/>
  <c r="AF78" i="11"/>
  <c r="AF77" i="11"/>
  <c r="AF76" i="11"/>
  <c r="AF75" i="11"/>
  <c r="AF74" i="11"/>
  <c r="AF73" i="11"/>
  <c r="AF72" i="11"/>
  <c r="AF71" i="11"/>
  <c r="AF70" i="11"/>
  <c r="AF69" i="11"/>
  <c r="AF68" i="11"/>
  <c r="AF67" i="11"/>
  <c r="AF66" i="11"/>
  <c r="AF65" i="11"/>
  <c r="AF64" i="11"/>
  <c r="AF63" i="11"/>
  <c r="AF90" i="11"/>
  <c r="U77" i="11"/>
  <c r="T77" i="11" s="1"/>
  <c r="U69" i="11"/>
  <c r="T69" i="11" s="1"/>
  <c r="U62" i="11"/>
  <c r="U60" i="11"/>
  <c r="U58" i="11"/>
  <c r="T58" i="11" s="1"/>
  <c r="U56" i="11"/>
  <c r="T56" i="11" s="1"/>
  <c r="U54" i="11"/>
  <c r="T54" i="11" s="1"/>
  <c r="U52" i="11"/>
  <c r="T52" i="11" s="1"/>
  <c r="U76" i="11"/>
  <c r="T76" i="11" s="1"/>
  <c r="U68" i="11"/>
  <c r="T68" i="11" s="1"/>
  <c r="U84" i="11"/>
  <c r="T84" i="11" s="1"/>
  <c r="U83" i="11"/>
  <c r="T83" i="11" s="1"/>
  <c r="U75" i="11"/>
  <c r="T75" i="11" s="1"/>
  <c r="U87" i="11"/>
  <c r="U80" i="11"/>
  <c r="T80" i="11" s="1"/>
  <c r="U72" i="11"/>
  <c r="T72" i="11" s="1"/>
  <c r="U64" i="11"/>
  <c r="U74" i="11"/>
  <c r="T74" i="11" s="1"/>
  <c r="U82" i="11"/>
  <c r="T82" i="11" s="1"/>
  <c r="U85" i="11"/>
  <c r="T85" i="11" s="1"/>
  <c r="T87" i="11"/>
  <c r="U65" i="11"/>
  <c r="T65" i="11" s="1"/>
  <c r="U73" i="11"/>
  <c r="T73" i="11" s="1"/>
  <c r="U81" i="11"/>
  <c r="U71" i="11"/>
  <c r="U79" i="11"/>
  <c r="T79" i="11" s="1"/>
  <c r="T81" i="11"/>
  <c r="AF53" i="11"/>
  <c r="AF55" i="11"/>
  <c r="AF57" i="11"/>
  <c r="AF59" i="11"/>
  <c r="AF61" i="11"/>
  <c r="K72" i="11"/>
  <c r="U86" i="11"/>
  <c r="T88" i="11"/>
  <c r="G51" i="11"/>
  <c r="F51" i="11" s="1"/>
  <c r="G88" i="11"/>
  <c r="G89" i="11" s="1"/>
  <c r="F89" i="11" s="1"/>
  <c r="G87" i="11"/>
  <c r="F87" i="11" s="1"/>
  <c r="G86" i="11"/>
  <c r="F86" i="11" s="1"/>
  <c r="G85" i="11"/>
  <c r="F85" i="11" s="1"/>
  <c r="G84" i="11"/>
  <c r="F84" i="11" s="1"/>
  <c r="G83" i="11"/>
  <c r="F83" i="11" s="1"/>
  <c r="G82" i="11"/>
  <c r="K82" i="11" s="1"/>
  <c r="G81" i="11"/>
  <c r="K81" i="11" s="1"/>
  <c r="G80" i="11"/>
  <c r="F80" i="11" s="1"/>
  <c r="G79" i="11"/>
  <c r="F79" i="11" s="1"/>
  <c r="G78" i="11"/>
  <c r="F78" i="11" s="1"/>
  <c r="G77" i="11"/>
  <c r="K77" i="11" s="1"/>
  <c r="G76" i="11"/>
  <c r="G75" i="11"/>
  <c r="F75" i="11" s="1"/>
  <c r="G74" i="11"/>
  <c r="K74" i="11" s="1"/>
  <c r="G73" i="11"/>
  <c r="K73" i="11" s="1"/>
  <c r="G72" i="11"/>
  <c r="F72" i="11" s="1"/>
  <c r="G71" i="11"/>
  <c r="F71" i="11" s="1"/>
  <c r="G70" i="11"/>
  <c r="F70" i="11" s="1"/>
  <c r="G69" i="11"/>
  <c r="K69" i="11" s="1"/>
  <c r="G68" i="11"/>
  <c r="K68" i="11" s="1"/>
  <c r="G67" i="11"/>
  <c r="F67" i="11" s="1"/>
  <c r="G66" i="11"/>
  <c r="K66" i="11" s="1"/>
  <c r="G65" i="11"/>
  <c r="K65" i="11" s="1"/>
  <c r="G64" i="11"/>
  <c r="K64" i="11" s="1"/>
  <c r="G63" i="11"/>
  <c r="F63" i="11" s="1"/>
  <c r="G62" i="11"/>
  <c r="K62" i="11" s="1"/>
  <c r="G61" i="11"/>
  <c r="K61" i="11" s="1"/>
  <c r="G60" i="11"/>
  <c r="K60" i="11" s="1"/>
  <c r="G59" i="11"/>
  <c r="F59" i="11" s="1"/>
  <c r="G58" i="11"/>
  <c r="K58" i="11" s="1"/>
  <c r="G57" i="11"/>
  <c r="F57" i="11" s="1"/>
  <c r="G56" i="11"/>
  <c r="K56" i="11" s="1"/>
  <c r="G55" i="11"/>
  <c r="F55" i="11" s="1"/>
  <c r="G54" i="11"/>
  <c r="K54" i="11" s="1"/>
  <c r="G53" i="11"/>
  <c r="K53" i="11" s="1"/>
  <c r="G52" i="11"/>
  <c r="K52" i="11" s="1"/>
  <c r="T89" i="11"/>
  <c r="K84" i="11" l="1"/>
  <c r="F64" i="11"/>
  <c r="F61" i="11"/>
  <c r="K75" i="11"/>
  <c r="K55" i="11"/>
  <c r="K79" i="11"/>
  <c r="K63" i="11"/>
  <c r="K59" i="11"/>
  <c r="F88" i="11"/>
  <c r="K89" i="11"/>
  <c r="F56" i="11"/>
  <c r="AJ53" i="11"/>
  <c r="AE53" i="11"/>
  <c r="K86" i="11"/>
  <c r="K88" i="11"/>
  <c r="K87" i="11"/>
  <c r="K70" i="11"/>
  <c r="K71" i="11"/>
  <c r="K80" i="11"/>
  <c r="K85" i="11"/>
  <c r="AE66" i="11"/>
  <c r="AJ66" i="11"/>
  <c r="AJ74" i="11"/>
  <c r="AE74" i="11"/>
  <c r="AJ82" i="11"/>
  <c r="AE82" i="11"/>
  <c r="AE91" i="11"/>
  <c r="AJ91" i="11"/>
  <c r="AJ62" i="11"/>
  <c r="AE62" i="11"/>
  <c r="T60" i="11"/>
  <c r="T71" i="11"/>
  <c r="AE67" i="11"/>
  <c r="AJ67" i="11"/>
  <c r="AE75" i="11"/>
  <c r="AJ75" i="11"/>
  <c r="AE83" i="11"/>
  <c r="AJ83" i="11"/>
  <c r="AJ60" i="11"/>
  <c r="AE60" i="11"/>
  <c r="AE57" i="11"/>
  <c r="AJ57" i="11"/>
  <c r="AE84" i="11"/>
  <c r="AJ84" i="11"/>
  <c r="K57" i="11"/>
  <c r="AJ76" i="11"/>
  <c r="AE76" i="11"/>
  <c r="AJ58" i="11"/>
  <c r="AE58" i="11"/>
  <c r="K83" i="11"/>
  <c r="T86" i="11"/>
  <c r="AJ69" i="11"/>
  <c r="AE69" i="11"/>
  <c r="AJ77" i="11"/>
  <c r="AE77" i="11"/>
  <c r="AJ85" i="11"/>
  <c r="AE85" i="11"/>
  <c r="F81" i="11"/>
  <c r="AJ56" i="11"/>
  <c r="AE56" i="11"/>
  <c r="F52" i="11"/>
  <c r="F54" i="11"/>
  <c r="K51" i="11"/>
  <c r="F66" i="11"/>
  <c r="AJ68" i="11"/>
  <c r="AE68" i="11"/>
  <c r="AJ70" i="11"/>
  <c r="AE70" i="11"/>
  <c r="AJ78" i="11"/>
  <c r="AE78" i="11"/>
  <c r="AJ86" i="11"/>
  <c r="AE86" i="11"/>
  <c r="AJ54" i="11"/>
  <c r="AE54" i="11"/>
  <c r="T64" i="11"/>
  <c r="AE79" i="11"/>
  <c r="AJ79" i="11"/>
  <c r="AJ52" i="11"/>
  <c r="AE52" i="11"/>
  <c r="F58" i="11"/>
  <c r="F68" i="11"/>
  <c r="F53" i="11"/>
  <c r="T62" i="11"/>
  <c r="K76" i="11"/>
  <c r="F76" i="11"/>
  <c r="F69" i="11"/>
  <c r="AJ90" i="11"/>
  <c r="AE90" i="11"/>
  <c r="AE61" i="11"/>
  <c r="AJ61" i="11"/>
  <c r="AE71" i="11"/>
  <c r="AJ71" i="11"/>
  <c r="AE87" i="11"/>
  <c r="AJ87" i="11"/>
  <c r="K67" i="11"/>
  <c r="AE64" i="11"/>
  <c r="AJ64" i="11"/>
  <c r="AE72" i="11"/>
  <c r="AJ72" i="11"/>
  <c r="AE80" i="11"/>
  <c r="AJ80" i="11"/>
  <c r="AE88" i="11"/>
  <c r="AJ88" i="11"/>
  <c r="F65" i="11"/>
  <c r="F60" i="11"/>
  <c r="F74" i="11"/>
  <c r="AE55" i="11"/>
  <c r="AJ55" i="11"/>
  <c r="F82" i="11"/>
  <c r="AE63" i="11"/>
  <c r="AJ63" i="11"/>
  <c r="F77" i="11"/>
  <c r="AE59" i="11"/>
  <c r="AJ59" i="11"/>
  <c r="K78" i="11"/>
  <c r="AJ65" i="11"/>
  <c r="AE65" i="11"/>
  <c r="AJ73" i="11"/>
  <c r="AE73" i="11"/>
  <c r="AJ81" i="11"/>
  <c r="AE81" i="11"/>
  <c r="AE89" i="11"/>
  <c r="AJ89" i="11"/>
  <c r="F73" i="11"/>
  <c r="F62" i="11"/>
  <c r="M5" i="6"/>
  <c r="M55" i="6"/>
  <c r="M109" i="6"/>
  <c r="K9" i="8"/>
  <c r="AT91" i="8"/>
  <c r="AU91" i="8" s="1"/>
  <c r="AQ91" i="8"/>
  <c r="AR91" i="8" s="1"/>
  <c r="AK91" i="8"/>
  <c r="AM91" i="8" s="1"/>
  <c r="AT90" i="8"/>
  <c r="AU90" i="8" s="1"/>
  <c r="AQ90" i="8"/>
  <c r="AR90" i="8" s="1"/>
  <c r="AM90" i="8"/>
  <c r="AK90" i="8"/>
  <c r="AU89" i="8"/>
  <c r="AT89" i="8"/>
  <c r="AQ89" i="8"/>
  <c r="AR89" i="8" s="1"/>
  <c r="AM89" i="8"/>
  <c r="AK89" i="8"/>
  <c r="Z89" i="8"/>
  <c r="Y89" i="8"/>
  <c r="S89" i="8"/>
  <c r="U89" i="8" s="1"/>
  <c r="I89" i="8"/>
  <c r="J89" i="8" s="1"/>
  <c r="C89" i="8"/>
  <c r="E89" i="8" s="1"/>
  <c r="AT88" i="8"/>
  <c r="AU88" i="8" s="1"/>
  <c r="AQ88" i="8"/>
  <c r="AR88" i="8" s="1"/>
  <c r="AM88" i="8"/>
  <c r="AK88" i="8"/>
  <c r="Y88" i="8"/>
  <c r="Z88" i="8" s="1"/>
  <c r="S88" i="8"/>
  <c r="U88" i="8" s="1"/>
  <c r="M42" i="8"/>
  <c r="N42" i="8" s="1"/>
  <c r="I88" i="8"/>
  <c r="J88" i="8" s="1"/>
  <c r="C88" i="8"/>
  <c r="E88" i="8" s="1"/>
  <c r="AT87" i="8"/>
  <c r="AU87" i="8" s="1"/>
  <c r="AR87" i="8"/>
  <c r="AQ87" i="8"/>
  <c r="AK87" i="8"/>
  <c r="AM87" i="8" s="1"/>
  <c r="Y87" i="8"/>
  <c r="Z87" i="8" s="1"/>
  <c r="U87" i="8"/>
  <c r="S87" i="8"/>
  <c r="I87" i="8"/>
  <c r="J87" i="8" s="1"/>
  <c r="C87" i="8"/>
  <c r="E87" i="8" s="1"/>
  <c r="AU86" i="8"/>
  <c r="AT86" i="8"/>
  <c r="AR86" i="8"/>
  <c r="AQ86" i="8"/>
  <c r="AK86" i="8"/>
  <c r="AM86" i="8" s="1"/>
  <c r="Z86" i="8"/>
  <c r="Y86" i="8"/>
  <c r="S86" i="8"/>
  <c r="U86" i="8" s="1"/>
  <c r="I86" i="8"/>
  <c r="J86" i="8" s="1"/>
  <c r="C86" i="8"/>
  <c r="E86" i="8" s="1"/>
  <c r="AT85" i="8"/>
  <c r="AU85" i="8" s="1"/>
  <c r="AQ85" i="8"/>
  <c r="AR85" i="8" s="1"/>
  <c r="AK85" i="8"/>
  <c r="AM85" i="8" s="1"/>
  <c r="Z85" i="8"/>
  <c r="Y85" i="8"/>
  <c r="S85" i="8"/>
  <c r="U85" i="8" s="1"/>
  <c r="I85" i="8"/>
  <c r="J85" i="8" s="1"/>
  <c r="C85" i="8"/>
  <c r="E85" i="8" s="1"/>
  <c r="AT84" i="8"/>
  <c r="AU84" i="8" s="1"/>
  <c r="AR84" i="8"/>
  <c r="AQ84" i="8"/>
  <c r="AK84" i="8"/>
  <c r="AM84" i="8" s="1"/>
  <c r="Y84" i="8"/>
  <c r="Z84" i="8" s="1"/>
  <c r="U84" i="8"/>
  <c r="S84" i="8"/>
  <c r="M38" i="8"/>
  <c r="I84" i="8"/>
  <c r="J84" i="8" s="1"/>
  <c r="C84" i="8"/>
  <c r="E84" i="8" s="1"/>
  <c r="AU83" i="8"/>
  <c r="AT83" i="8"/>
  <c r="AQ83" i="8"/>
  <c r="AR83" i="8" s="1"/>
  <c r="AK83" i="8"/>
  <c r="AM83" i="8" s="1"/>
  <c r="Y83" i="8"/>
  <c r="Z83" i="8" s="1"/>
  <c r="S83" i="8"/>
  <c r="U83" i="8" s="1"/>
  <c r="I83" i="8"/>
  <c r="J83" i="8" s="1"/>
  <c r="E83" i="8"/>
  <c r="C83" i="8"/>
  <c r="AU82" i="8"/>
  <c r="AT82" i="8"/>
  <c r="AQ82" i="8"/>
  <c r="AR82" i="8" s="1"/>
  <c r="AK82" i="8"/>
  <c r="AM82" i="8" s="1"/>
  <c r="Y82" i="8"/>
  <c r="Z82" i="8" s="1"/>
  <c r="S82" i="8"/>
  <c r="U82" i="8" s="1"/>
  <c r="J82" i="8"/>
  <c r="I82" i="8"/>
  <c r="C82" i="8"/>
  <c r="E82" i="8" s="1"/>
  <c r="AU81" i="8"/>
  <c r="AT81" i="8"/>
  <c r="AQ81" i="8"/>
  <c r="AR81" i="8" s="1"/>
  <c r="AK81" i="8"/>
  <c r="AM81" i="8" s="1"/>
  <c r="Z81" i="8"/>
  <c r="Y81" i="8"/>
  <c r="S81" i="8"/>
  <c r="U81" i="8" s="1"/>
  <c r="I81" i="8"/>
  <c r="J81" i="8" s="1"/>
  <c r="C81" i="8"/>
  <c r="E81" i="8" s="1"/>
  <c r="AT80" i="8"/>
  <c r="AU80" i="8" s="1"/>
  <c r="AQ80" i="8"/>
  <c r="AR80" i="8" s="1"/>
  <c r="AK80" i="8"/>
  <c r="AM80" i="8" s="1"/>
  <c r="Y80" i="8"/>
  <c r="Z80" i="8" s="1"/>
  <c r="S80" i="8"/>
  <c r="U80" i="8" s="1"/>
  <c r="I80" i="8"/>
  <c r="J80" i="8" s="1"/>
  <c r="E80" i="8"/>
  <c r="C80" i="8"/>
  <c r="AT79" i="8"/>
  <c r="AU79" i="8" s="1"/>
  <c r="AQ79" i="8"/>
  <c r="AR79" i="8" s="1"/>
  <c r="AK79" i="8"/>
  <c r="AM79" i="8" s="1"/>
  <c r="Y79" i="8"/>
  <c r="Z79" i="8" s="1"/>
  <c r="S79" i="8"/>
  <c r="U79" i="8" s="1"/>
  <c r="I79" i="8"/>
  <c r="J79" i="8" s="1"/>
  <c r="C79" i="8"/>
  <c r="E79" i="8" s="1"/>
  <c r="AU78" i="8"/>
  <c r="AT78" i="8"/>
  <c r="AR78" i="8"/>
  <c r="AQ78" i="8"/>
  <c r="AK78" i="8"/>
  <c r="AM78" i="8" s="1"/>
  <c r="Y78" i="8"/>
  <c r="Z78" i="8" s="1"/>
  <c r="AA78" i="8" s="1"/>
  <c r="W78" i="8"/>
  <c r="S78" i="8"/>
  <c r="U78" i="8" s="1"/>
  <c r="I78" i="8"/>
  <c r="J78" i="8" s="1"/>
  <c r="E78" i="8"/>
  <c r="C78" i="8"/>
  <c r="AU77" i="8"/>
  <c r="AT77" i="8"/>
  <c r="AQ77" i="8"/>
  <c r="AR77" i="8" s="1"/>
  <c r="AK77" i="8"/>
  <c r="AM77" i="8" s="1"/>
  <c r="Y77" i="8"/>
  <c r="Z77" i="8" s="1"/>
  <c r="S77" i="8"/>
  <c r="I77" i="8"/>
  <c r="J77" i="8" s="1"/>
  <c r="C77" i="8"/>
  <c r="E77" i="8" s="1"/>
  <c r="AU76" i="8"/>
  <c r="AT76" i="8"/>
  <c r="AQ76" i="8"/>
  <c r="AR76" i="8" s="1"/>
  <c r="AM76" i="8"/>
  <c r="AK76" i="8"/>
  <c r="Y76" i="8"/>
  <c r="Z76" i="8" s="1"/>
  <c r="W76" i="8"/>
  <c r="S76" i="8"/>
  <c r="U76" i="8" s="1"/>
  <c r="V76" i="8" s="1"/>
  <c r="I76" i="8"/>
  <c r="J76" i="8" s="1"/>
  <c r="C76" i="8"/>
  <c r="E76" i="8" s="1"/>
  <c r="AU75" i="8"/>
  <c r="AT75" i="8"/>
  <c r="AR75" i="8"/>
  <c r="AQ75" i="8"/>
  <c r="AO75" i="8"/>
  <c r="AV75" i="8" s="1"/>
  <c r="AK75" i="8"/>
  <c r="AM75" i="8" s="1"/>
  <c r="Y75" i="8"/>
  <c r="Z75" i="8" s="1"/>
  <c r="S75" i="8"/>
  <c r="U75" i="8" s="1"/>
  <c r="I75" i="8"/>
  <c r="J75" i="8" s="1"/>
  <c r="E75" i="8"/>
  <c r="C75" i="8"/>
  <c r="AU74" i="8"/>
  <c r="AT74" i="8"/>
  <c r="AQ74" i="8"/>
  <c r="AR74" i="8" s="1"/>
  <c r="AM74" i="8"/>
  <c r="AK74" i="8"/>
  <c r="Y74" i="8"/>
  <c r="Z74" i="8" s="1"/>
  <c r="S74" i="8"/>
  <c r="U74" i="8" s="1"/>
  <c r="J74" i="8"/>
  <c r="I74" i="8"/>
  <c r="E74" i="8"/>
  <c r="C74" i="8"/>
  <c r="AT73" i="8"/>
  <c r="AU73" i="8" s="1"/>
  <c r="AQ73" i="8"/>
  <c r="AR73" i="8" s="1"/>
  <c r="AK73" i="8"/>
  <c r="AM73" i="8" s="1"/>
  <c r="Y73" i="8"/>
  <c r="Z73" i="8" s="1"/>
  <c r="S73" i="8"/>
  <c r="U73" i="8" s="1"/>
  <c r="I73" i="8"/>
  <c r="J73" i="8" s="1"/>
  <c r="C73" i="8"/>
  <c r="E73" i="8" s="1"/>
  <c r="AU72" i="8"/>
  <c r="AT72" i="8"/>
  <c r="AQ72" i="8"/>
  <c r="AR72" i="8" s="1"/>
  <c r="AM72" i="8"/>
  <c r="AK72" i="8"/>
  <c r="Y72" i="8"/>
  <c r="Z72" i="8" s="1"/>
  <c r="U72" i="8"/>
  <c r="S72" i="8"/>
  <c r="I72" i="8"/>
  <c r="J72" i="8" s="1"/>
  <c r="C72" i="8"/>
  <c r="E72" i="8" s="1"/>
  <c r="AU71" i="8"/>
  <c r="AT71" i="8"/>
  <c r="AR71" i="8"/>
  <c r="AQ71" i="8"/>
  <c r="AK71" i="8"/>
  <c r="AM71" i="8" s="1"/>
  <c r="Y71" i="8"/>
  <c r="Z71" i="8" s="1"/>
  <c r="S71" i="8"/>
  <c r="U71" i="8" s="1"/>
  <c r="I71" i="8"/>
  <c r="J71" i="8" s="1"/>
  <c r="C71" i="8"/>
  <c r="E71" i="8" s="1"/>
  <c r="AU70" i="8"/>
  <c r="AT70" i="8"/>
  <c r="AQ70" i="8"/>
  <c r="AR70" i="8" s="1"/>
  <c r="AM70" i="8"/>
  <c r="AK70" i="8"/>
  <c r="Y70" i="8"/>
  <c r="Z70" i="8" s="1"/>
  <c r="S70" i="8"/>
  <c r="U70" i="8" s="1"/>
  <c r="I70" i="8"/>
  <c r="J70" i="8" s="1"/>
  <c r="C70" i="8"/>
  <c r="E70" i="8" s="1"/>
  <c r="AT69" i="8"/>
  <c r="AU69" i="8" s="1"/>
  <c r="AQ69" i="8"/>
  <c r="AR69" i="8" s="1"/>
  <c r="AK69" i="8"/>
  <c r="AM69" i="8" s="1"/>
  <c r="Y69" i="8"/>
  <c r="Z69" i="8" s="1"/>
  <c r="U69" i="8"/>
  <c r="S69" i="8"/>
  <c r="I69" i="8"/>
  <c r="J69" i="8" s="1"/>
  <c r="C69" i="8"/>
  <c r="E69" i="8" s="1"/>
  <c r="AU68" i="8"/>
  <c r="AT68" i="8"/>
  <c r="AR68" i="8"/>
  <c r="AQ68" i="8"/>
  <c r="AK68" i="8"/>
  <c r="AM68" i="8" s="1"/>
  <c r="Y68" i="8"/>
  <c r="Z68" i="8" s="1"/>
  <c r="S68" i="8"/>
  <c r="U68" i="8" s="1"/>
  <c r="M22" i="8"/>
  <c r="I68" i="8"/>
  <c r="J68" i="8" s="1"/>
  <c r="C68" i="8"/>
  <c r="E68" i="8" s="1"/>
  <c r="F68" i="8" s="1"/>
  <c r="AT67" i="8"/>
  <c r="AU67" i="8" s="1"/>
  <c r="AQ67" i="8"/>
  <c r="AR67" i="8" s="1"/>
  <c r="AK67" i="8"/>
  <c r="AM67" i="8" s="1"/>
  <c r="Y67" i="8"/>
  <c r="Z67" i="8" s="1"/>
  <c r="S67" i="8"/>
  <c r="U67" i="8" s="1"/>
  <c r="I67" i="8"/>
  <c r="J67" i="8" s="1"/>
  <c r="C67" i="8"/>
  <c r="E67" i="8" s="1"/>
  <c r="AU66" i="8"/>
  <c r="AT66" i="8"/>
  <c r="AQ66" i="8"/>
  <c r="AR66" i="8" s="1"/>
  <c r="AO66" i="8"/>
  <c r="AM66" i="8"/>
  <c r="AK66" i="8"/>
  <c r="Y66" i="8"/>
  <c r="Z66" i="8" s="1"/>
  <c r="AA66" i="8" s="1"/>
  <c r="W66" i="8"/>
  <c r="S66" i="8"/>
  <c r="U66" i="8" s="1"/>
  <c r="I66" i="8"/>
  <c r="J66" i="8" s="1"/>
  <c r="C66" i="8"/>
  <c r="E66" i="8" s="1"/>
  <c r="AT65" i="8"/>
  <c r="AU65" i="8" s="1"/>
  <c r="AQ65" i="8"/>
  <c r="AR65" i="8" s="1"/>
  <c r="AK65" i="8"/>
  <c r="AM65" i="8" s="1"/>
  <c r="Z65" i="8"/>
  <c r="Y65" i="8"/>
  <c r="U65" i="8"/>
  <c r="S65" i="8"/>
  <c r="I65" i="8"/>
  <c r="J65" i="8" s="1"/>
  <c r="C65" i="8"/>
  <c r="E65" i="8" s="1"/>
  <c r="AT64" i="8"/>
  <c r="AU64" i="8" s="1"/>
  <c r="AQ64" i="8"/>
  <c r="AR64" i="8" s="1"/>
  <c r="AK64" i="8"/>
  <c r="AM64" i="8" s="1"/>
  <c r="Y64" i="8"/>
  <c r="Z64" i="8" s="1"/>
  <c r="S64" i="8"/>
  <c r="U64" i="8" s="1"/>
  <c r="I64" i="8"/>
  <c r="J64" i="8" s="1"/>
  <c r="C64" i="8"/>
  <c r="E64" i="8" s="1"/>
  <c r="AU63" i="8"/>
  <c r="AT63" i="8"/>
  <c r="AQ63" i="8"/>
  <c r="AR63" i="8" s="1"/>
  <c r="AK63" i="8"/>
  <c r="AM63" i="8" s="1"/>
  <c r="Y63" i="8"/>
  <c r="Z63" i="8" s="1"/>
  <c r="S63" i="8"/>
  <c r="U63" i="8" s="1"/>
  <c r="I63" i="8"/>
  <c r="J63" i="8" s="1"/>
  <c r="C63" i="8"/>
  <c r="E63" i="8" s="1"/>
  <c r="AU62" i="8"/>
  <c r="AT62" i="8"/>
  <c r="AQ62" i="8"/>
  <c r="AR62" i="8" s="1"/>
  <c r="AO62" i="8"/>
  <c r="AV62" i="8" s="1"/>
  <c r="AK62" i="8"/>
  <c r="AM62" i="8" s="1"/>
  <c r="Z62" i="8"/>
  <c r="AA62" i="8" s="1"/>
  <c r="Y62" i="8"/>
  <c r="W62" i="8"/>
  <c r="S62" i="8"/>
  <c r="U62" i="8" s="1"/>
  <c r="V62" i="8" s="1"/>
  <c r="I62" i="8"/>
  <c r="J62" i="8" s="1"/>
  <c r="C62" i="8"/>
  <c r="E62" i="8" s="1"/>
  <c r="AT61" i="8"/>
  <c r="AU61" i="8" s="1"/>
  <c r="AQ61" i="8"/>
  <c r="AR61" i="8" s="1"/>
  <c r="AM61" i="8"/>
  <c r="AK61" i="8"/>
  <c r="Z61" i="8"/>
  <c r="AA61" i="8" s="1"/>
  <c r="Y61" i="8"/>
  <c r="W61" i="8"/>
  <c r="S61" i="8"/>
  <c r="U61" i="8" s="1"/>
  <c r="V61" i="8" s="1"/>
  <c r="M15" i="8"/>
  <c r="I61" i="8"/>
  <c r="J61" i="8" s="1"/>
  <c r="K61" i="8" s="1"/>
  <c r="G61" i="8"/>
  <c r="C61" i="8"/>
  <c r="E61" i="8" s="1"/>
  <c r="F61" i="8" s="1"/>
  <c r="AU60" i="8"/>
  <c r="AT60" i="8"/>
  <c r="AQ60" i="8"/>
  <c r="AR60" i="8" s="1"/>
  <c r="AK60" i="8"/>
  <c r="AM60" i="8" s="1"/>
  <c r="Y60" i="8"/>
  <c r="Z60" i="8" s="1"/>
  <c r="U60" i="8"/>
  <c r="S60" i="8"/>
  <c r="I60" i="8"/>
  <c r="J60" i="8" s="1"/>
  <c r="C60" i="8"/>
  <c r="E60" i="8" s="1"/>
  <c r="AU59" i="8"/>
  <c r="AT59" i="8"/>
  <c r="AQ59" i="8"/>
  <c r="AR59" i="8" s="1"/>
  <c r="AK59" i="8"/>
  <c r="AM59" i="8" s="1"/>
  <c r="Y59" i="8"/>
  <c r="Z59" i="8" s="1"/>
  <c r="U59" i="8"/>
  <c r="S59" i="8"/>
  <c r="I59" i="8"/>
  <c r="J59" i="8" s="1"/>
  <c r="G59" i="8"/>
  <c r="E59" i="8"/>
  <c r="F59" i="8" s="1"/>
  <c r="C59" i="8"/>
  <c r="AU58" i="8"/>
  <c r="AT58" i="8"/>
  <c r="AQ58" i="8"/>
  <c r="AR58" i="8" s="1"/>
  <c r="AO58" i="8"/>
  <c r="AK58" i="8"/>
  <c r="AM58" i="8" s="1"/>
  <c r="Y58" i="8"/>
  <c r="Z58" i="8" s="1"/>
  <c r="AA58" i="8" s="1"/>
  <c r="W58" i="8"/>
  <c r="S58" i="8"/>
  <c r="J58" i="8"/>
  <c r="I58" i="8"/>
  <c r="C58" i="8"/>
  <c r="E58" i="8" s="1"/>
  <c r="AT57" i="8"/>
  <c r="AU57" i="8" s="1"/>
  <c r="AQ57" i="8"/>
  <c r="AR57" i="8" s="1"/>
  <c r="AK57" i="8"/>
  <c r="AM57" i="8" s="1"/>
  <c r="Z57" i="8"/>
  <c r="AA57" i="8" s="1"/>
  <c r="Y57" i="8"/>
  <c r="W57" i="8"/>
  <c r="U57" i="8"/>
  <c r="S57" i="8"/>
  <c r="M11" i="8"/>
  <c r="I57" i="8"/>
  <c r="J57" i="8" s="1"/>
  <c r="C57" i="8"/>
  <c r="E57" i="8" s="1"/>
  <c r="AU56" i="8"/>
  <c r="AT56" i="8"/>
  <c r="AR56" i="8"/>
  <c r="AQ56" i="8"/>
  <c r="AK56" i="8"/>
  <c r="AM56" i="8" s="1"/>
  <c r="Z56" i="8"/>
  <c r="Y56" i="8"/>
  <c r="U56" i="8"/>
  <c r="S56" i="8"/>
  <c r="I56" i="8"/>
  <c r="J56" i="8" s="1"/>
  <c r="C56" i="8"/>
  <c r="E56" i="8" s="1"/>
  <c r="AU55" i="8"/>
  <c r="AT55" i="8"/>
  <c r="AQ55" i="8"/>
  <c r="AR55" i="8" s="1"/>
  <c r="AO55" i="8"/>
  <c r="AK55" i="8"/>
  <c r="AM55" i="8" s="1"/>
  <c r="Y55" i="8"/>
  <c r="Z55" i="8" s="1"/>
  <c r="U55" i="8"/>
  <c r="S55" i="8"/>
  <c r="I55" i="8"/>
  <c r="J55" i="8" s="1"/>
  <c r="C55" i="8"/>
  <c r="E55" i="8" s="1"/>
  <c r="AT54" i="8"/>
  <c r="AU54" i="8" s="1"/>
  <c r="AQ54" i="8"/>
  <c r="AR54" i="8" s="1"/>
  <c r="AK54" i="8"/>
  <c r="AM54" i="8" s="1"/>
  <c r="Y54" i="8"/>
  <c r="Z54" i="8" s="1"/>
  <c r="S54" i="8"/>
  <c r="U54" i="8" s="1"/>
  <c r="J54" i="8"/>
  <c r="I54" i="8"/>
  <c r="C54" i="8"/>
  <c r="E54" i="8" s="1"/>
  <c r="AT53" i="8"/>
  <c r="AU53" i="8" s="1"/>
  <c r="AQ53" i="8"/>
  <c r="AR53" i="8" s="1"/>
  <c r="AK53" i="8"/>
  <c r="AM53" i="8" s="1"/>
  <c r="Y53" i="8"/>
  <c r="Z53" i="8" s="1"/>
  <c r="S53" i="8"/>
  <c r="U53" i="8" s="1"/>
  <c r="I53" i="8"/>
  <c r="J53" i="8" s="1"/>
  <c r="C53" i="8"/>
  <c r="E53" i="8" s="1"/>
  <c r="AU52" i="8"/>
  <c r="AT52" i="8"/>
  <c r="AR52" i="8"/>
  <c r="AQ52" i="8"/>
  <c r="AK52" i="8"/>
  <c r="AM52" i="8" s="1"/>
  <c r="Y52" i="8"/>
  <c r="Z52" i="8" s="1"/>
  <c r="S52" i="8"/>
  <c r="U52" i="8" s="1"/>
  <c r="I52" i="8"/>
  <c r="J52" i="8" s="1"/>
  <c r="C52" i="8"/>
  <c r="E52" i="8" s="1"/>
  <c r="Y51" i="8"/>
  <c r="Z51" i="8" s="1"/>
  <c r="AA51" i="8" s="1"/>
  <c r="W51" i="8"/>
  <c r="S51" i="8"/>
  <c r="V51" i="8" s="1"/>
  <c r="J51" i="8"/>
  <c r="I51" i="8"/>
  <c r="C51" i="8"/>
  <c r="E51" i="8" s="1"/>
  <c r="Q47" i="8"/>
  <c r="AO82" i="8" s="1"/>
  <c r="A47" i="8"/>
  <c r="G68" i="8" s="1"/>
  <c r="AJ43" i="8"/>
  <c r="AI43" i="8"/>
  <c r="AH43" i="8"/>
  <c r="M43" i="8"/>
  <c r="K43" i="8"/>
  <c r="J43" i="8"/>
  <c r="N43" i="8" s="1"/>
  <c r="I43" i="8"/>
  <c r="L43" i="8" s="1"/>
  <c r="AJ42" i="8"/>
  <c r="AI42" i="8"/>
  <c r="AH42" i="8"/>
  <c r="X42" i="8"/>
  <c r="W42" i="8"/>
  <c r="V42" i="8"/>
  <c r="K42" i="8"/>
  <c r="J42" i="8"/>
  <c r="I42" i="8"/>
  <c r="L42" i="8" s="1"/>
  <c r="AJ41" i="8"/>
  <c r="AI41" i="8"/>
  <c r="AH41" i="8"/>
  <c r="X41" i="8"/>
  <c r="W41" i="8"/>
  <c r="V41" i="8"/>
  <c r="M41" i="8"/>
  <c r="K41" i="8"/>
  <c r="J41" i="8"/>
  <c r="I41" i="8"/>
  <c r="L41" i="8" s="1"/>
  <c r="AJ40" i="8"/>
  <c r="AI40" i="8"/>
  <c r="AH40" i="8"/>
  <c r="X40" i="8"/>
  <c r="W40" i="8"/>
  <c r="V40" i="8"/>
  <c r="M40" i="8"/>
  <c r="K40" i="8"/>
  <c r="J40" i="8"/>
  <c r="N40" i="8" s="1"/>
  <c r="I40" i="8"/>
  <c r="L40" i="8" s="1"/>
  <c r="AJ39" i="8"/>
  <c r="AI39" i="8"/>
  <c r="AH39" i="8"/>
  <c r="X39" i="8"/>
  <c r="W39" i="8"/>
  <c r="V39" i="8"/>
  <c r="M39" i="8"/>
  <c r="K39" i="8"/>
  <c r="J39" i="8"/>
  <c r="I39" i="8"/>
  <c r="L39" i="8" s="1"/>
  <c r="AJ38" i="8"/>
  <c r="AI38" i="8"/>
  <c r="AH38" i="8"/>
  <c r="X38" i="8"/>
  <c r="W38" i="8"/>
  <c r="V38" i="8"/>
  <c r="K38" i="8"/>
  <c r="J38" i="8"/>
  <c r="I38" i="8"/>
  <c r="L38" i="8" s="1"/>
  <c r="AJ37" i="8"/>
  <c r="AI37" i="8"/>
  <c r="AH37" i="8"/>
  <c r="X37" i="8"/>
  <c r="W37" i="8"/>
  <c r="V37" i="8"/>
  <c r="M37" i="8"/>
  <c r="N37" i="8" s="1"/>
  <c r="K37" i="8"/>
  <c r="J37" i="8"/>
  <c r="I37" i="8"/>
  <c r="L37" i="8" s="1"/>
  <c r="AJ36" i="8"/>
  <c r="AI36" i="8"/>
  <c r="AH36" i="8"/>
  <c r="X36" i="8"/>
  <c r="W36" i="8"/>
  <c r="V36" i="8"/>
  <c r="M36" i="8"/>
  <c r="K36" i="8"/>
  <c r="J36" i="8"/>
  <c r="I36" i="8"/>
  <c r="L36" i="8" s="1"/>
  <c r="AJ35" i="8"/>
  <c r="AI35" i="8"/>
  <c r="AH35" i="8"/>
  <c r="X35" i="8"/>
  <c r="W35" i="8"/>
  <c r="V35" i="8"/>
  <c r="M35" i="8"/>
  <c r="K35" i="8"/>
  <c r="J35" i="8"/>
  <c r="I35" i="8"/>
  <c r="L35" i="8" s="1"/>
  <c r="AJ34" i="8"/>
  <c r="AI34" i="8"/>
  <c r="AH34" i="8"/>
  <c r="X34" i="8"/>
  <c r="W34" i="8"/>
  <c r="V34" i="8"/>
  <c r="M34" i="8"/>
  <c r="L34" i="8"/>
  <c r="K34" i="8"/>
  <c r="J34" i="8"/>
  <c r="I34" i="8"/>
  <c r="AJ33" i="8"/>
  <c r="AI33" i="8"/>
  <c r="AH33" i="8"/>
  <c r="X33" i="8"/>
  <c r="W33" i="8"/>
  <c r="V33" i="8"/>
  <c r="M33" i="8"/>
  <c r="K33" i="8"/>
  <c r="J33" i="8"/>
  <c r="N33" i="8" s="1"/>
  <c r="I33" i="8"/>
  <c r="L33" i="8" s="1"/>
  <c r="AJ32" i="8"/>
  <c r="AI32" i="8"/>
  <c r="AH32" i="8"/>
  <c r="X32" i="8"/>
  <c r="W32" i="8"/>
  <c r="V32" i="8"/>
  <c r="M32" i="8"/>
  <c r="K32" i="8"/>
  <c r="J32" i="8"/>
  <c r="I32" i="8"/>
  <c r="L32" i="8" s="1"/>
  <c r="AJ31" i="8"/>
  <c r="AI31" i="8"/>
  <c r="AH31" i="8"/>
  <c r="X31" i="8"/>
  <c r="W31" i="8"/>
  <c r="V31" i="8"/>
  <c r="M31" i="8"/>
  <c r="L31" i="8"/>
  <c r="K31" i="8"/>
  <c r="J31" i="8"/>
  <c r="N31" i="8" s="1"/>
  <c r="I31" i="8"/>
  <c r="AJ30" i="8"/>
  <c r="AI30" i="8"/>
  <c r="AH30" i="8"/>
  <c r="X30" i="8"/>
  <c r="W30" i="8"/>
  <c r="V30" i="8"/>
  <c r="M30" i="8"/>
  <c r="K30" i="8"/>
  <c r="J30" i="8"/>
  <c r="I30" i="8"/>
  <c r="L30" i="8" s="1"/>
  <c r="AJ29" i="8"/>
  <c r="AI29" i="8"/>
  <c r="AH29" i="8"/>
  <c r="X29" i="8"/>
  <c r="W29" i="8"/>
  <c r="V29" i="8"/>
  <c r="M29" i="8"/>
  <c r="K29" i="8"/>
  <c r="J29" i="8"/>
  <c r="I29" i="8"/>
  <c r="L29" i="8" s="1"/>
  <c r="AJ28" i="8"/>
  <c r="AI28" i="8"/>
  <c r="AH28" i="8"/>
  <c r="X28" i="8"/>
  <c r="W28" i="8"/>
  <c r="V28" i="8"/>
  <c r="M28" i="8"/>
  <c r="N28" i="8" s="1"/>
  <c r="K28" i="8"/>
  <c r="J28" i="8"/>
  <c r="I28" i="8"/>
  <c r="L28" i="8" s="1"/>
  <c r="AJ27" i="8"/>
  <c r="AI27" i="8"/>
  <c r="AH27" i="8"/>
  <c r="X27" i="8"/>
  <c r="W27" i="8"/>
  <c r="V27" i="8"/>
  <c r="K27" i="8"/>
  <c r="J27" i="8"/>
  <c r="I27" i="8"/>
  <c r="L27" i="8" s="1"/>
  <c r="AJ26" i="8"/>
  <c r="AI26" i="8"/>
  <c r="AH26" i="8"/>
  <c r="X26" i="8"/>
  <c r="W26" i="8"/>
  <c r="V26" i="8"/>
  <c r="M26" i="8"/>
  <c r="K26" i="8"/>
  <c r="J26" i="8"/>
  <c r="I26" i="8"/>
  <c r="L26" i="8" s="1"/>
  <c r="AJ25" i="8"/>
  <c r="AI25" i="8"/>
  <c r="AH25" i="8"/>
  <c r="X25" i="8"/>
  <c r="W25" i="8"/>
  <c r="V25" i="8"/>
  <c r="M25" i="8"/>
  <c r="K25" i="8"/>
  <c r="J25" i="8"/>
  <c r="I25" i="8"/>
  <c r="L25" i="8" s="1"/>
  <c r="AJ24" i="8"/>
  <c r="AI24" i="8"/>
  <c r="AH24" i="8"/>
  <c r="X24" i="8"/>
  <c r="W24" i="8"/>
  <c r="V24" i="8"/>
  <c r="M24" i="8"/>
  <c r="K24" i="8"/>
  <c r="J24" i="8"/>
  <c r="N24" i="8" s="1"/>
  <c r="I24" i="8"/>
  <c r="L24" i="8" s="1"/>
  <c r="AJ23" i="8"/>
  <c r="AI23" i="8"/>
  <c r="AH23" i="8"/>
  <c r="X23" i="8"/>
  <c r="W23" i="8"/>
  <c r="V23" i="8"/>
  <c r="M23" i="8"/>
  <c r="K23" i="8"/>
  <c r="J23" i="8"/>
  <c r="I23" i="8"/>
  <c r="L23" i="8" s="1"/>
  <c r="AJ22" i="8"/>
  <c r="AI22" i="8"/>
  <c r="AH22" i="8"/>
  <c r="X22" i="8"/>
  <c r="W22" i="8"/>
  <c r="V22" i="8"/>
  <c r="K22" i="8"/>
  <c r="J22" i="8"/>
  <c r="I22" i="8"/>
  <c r="L22" i="8" s="1"/>
  <c r="AJ21" i="8"/>
  <c r="AI21" i="8"/>
  <c r="AH21" i="8"/>
  <c r="X21" i="8"/>
  <c r="W21" i="8"/>
  <c r="V21" i="8"/>
  <c r="M21" i="8"/>
  <c r="K21" i="8"/>
  <c r="J21" i="8"/>
  <c r="I21" i="8"/>
  <c r="L21" i="8" s="1"/>
  <c r="AJ20" i="8"/>
  <c r="AI20" i="8"/>
  <c r="AH20" i="8"/>
  <c r="X20" i="8"/>
  <c r="W20" i="8"/>
  <c r="V20" i="8"/>
  <c r="M20" i="8"/>
  <c r="L20" i="8"/>
  <c r="K20" i="8"/>
  <c r="J20" i="8"/>
  <c r="I20" i="8"/>
  <c r="AJ19" i="8"/>
  <c r="AI19" i="8"/>
  <c r="AH19" i="8"/>
  <c r="X19" i="8"/>
  <c r="W19" i="8"/>
  <c r="V19" i="8"/>
  <c r="M19" i="8"/>
  <c r="K19" i="8"/>
  <c r="J19" i="8"/>
  <c r="I19" i="8"/>
  <c r="L19" i="8" s="1"/>
  <c r="AJ18" i="8"/>
  <c r="AI18" i="8"/>
  <c r="AH18" i="8"/>
  <c r="X18" i="8"/>
  <c r="W18" i="8"/>
  <c r="V18" i="8"/>
  <c r="M18" i="8"/>
  <c r="K18" i="8"/>
  <c r="J18" i="8"/>
  <c r="I18" i="8"/>
  <c r="L18" i="8" s="1"/>
  <c r="AJ17" i="8"/>
  <c r="AI17" i="8"/>
  <c r="AH17" i="8"/>
  <c r="X17" i="8"/>
  <c r="W17" i="8"/>
  <c r="V17" i="8"/>
  <c r="M17" i="8"/>
  <c r="K17" i="8"/>
  <c r="J17" i="8"/>
  <c r="I17" i="8"/>
  <c r="L17" i="8" s="1"/>
  <c r="AJ16" i="8"/>
  <c r="AI16" i="8"/>
  <c r="AH16" i="8"/>
  <c r="X16" i="8"/>
  <c r="W16" i="8"/>
  <c r="V16" i="8"/>
  <c r="M16" i="8"/>
  <c r="K16" i="8"/>
  <c r="J16" i="8"/>
  <c r="I16" i="8"/>
  <c r="L16" i="8" s="1"/>
  <c r="AJ15" i="8"/>
  <c r="AI15" i="8"/>
  <c r="AH15" i="8"/>
  <c r="X15" i="8"/>
  <c r="W15" i="8"/>
  <c r="V15" i="8"/>
  <c r="K15" i="8"/>
  <c r="J15" i="8"/>
  <c r="I15" i="8"/>
  <c r="L15" i="8" s="1"/>
  <c r="AJ14" i="8"/>
  <c r="AI14" i="8"/>
  <c r="AH14" i="8"/>
  <c r="X14" i="8"/>
  <c r="W14" i="8"/>
  <c r="V14" i="8"/>
  <c r="M14" i="8"/>
  <c r="K14" i="8"/>
  <c r="J14" i="8"/>
  <c r="I14" i="8"/>
  <c r="L14" i="8" s="1"/>
  <c r="AJ13" i="8"/>
  <c r="AI13" i="8"/>
  <c r="AH13" i="8"/>
  <c r="X13" i="8"/>
  <c r="W13" i="8"/>
  <c r="V13" i="8"/>
  <c r="K13" i="8"/>
  <c r="J13" i="8"/>
  <c r="I13" i="8"/>
  <c r="L13" i="8" s="1"/>
  <c r="AJ12" i="8"/>
  <c r="AI12" i="8"/>
  <c r="AH12" i="8"/>
  <c r="X12" i="8"/>
  <c r="W12" i="8"/>
  <c r="V12" i="8"/>
  <c r="M12" i="8"/>
  <c r="L12" i="8"/>
  <c r="K12" i="8"/>
  <c r="J12" i="8"/>
  <c r="I12" i="8"/>
  <c r="AJ11" i="8"/>
  <c r="AI11" i="8"/>
  <c r="AH11" i="8"/>
  <c r="X11" i="8"/>
  <c r="W11" i="8"/>
  <c r="V11" i="8"/>
  <c r="K11" i="8"/>
  <c r="J11" i="8"/>
  <c r="I11" i="8"/>
  <c r="L11" i="8" s="1"/>
  <c r="AJ10" i="8"/>
  <c r="AI10" i="8"/>
  <c r="AH10" i="8"/>
  <c r="X10" i="8"/>
  <c r="W10" i="8"/>
  <c r="V10" i="8"/>
  <c r="M10" i="8"/>
  <c r="K10" i="8"/>
  <c r="J10" i="8"/>
  <c r="I10" i="8"/>
  <c r="L10" i="8" s="1"/>
  <c r="AJ9" i="8"/>
  <c r="AI9" i="8"/>
  <c r="AH9" i="8"/>
  <c r="X9" i="8"/>
  <c r="W9" i="8"/>
  <c r="V9" i="8"/>
  <c r="M9" i="8"/>
  <c r="J9" i="8"/>
  <c r="I9" i="8"/>
  <c r="L9" i="8" s="1"/>
  <c r="AJ8" i="8"/>
  <c r="AI8" i="8"/>
  <c r="AH8" i="8"/>
  <c r="X8" i="8"/>
  <c r="W8" i="8"/>
  <c r="V8" i="8"/>
  <c r="M8" i="8"/>
  <c r="K8" i="8"/>
  <c r="J8" i="8"/>
  <c r="I8" i="8"/>
  <c r="L8" i="8" s="1"/>
  <c r="AJ7" i="8"/>
  <c r="AI7" i="8"/>
  <c r="AH7" i="8"/>
  <c r="X7" i="8"/>
  <c r="W7" i="8"/>
  <c r="V7" i="8"/>
  <c r="M7" i="8"/>
  <c r="K7" i="8"/>
  <c r="J7" i="8"/>
  <c r="I7" i="8"/>
  <c r="L7" i="8" s="1"/>
  <c r="AJ6" i="8"/>
  <c r="AI6" i="8"/>
  <c r="AH6" i="8"/>
  <c r="X6" i="8"/>
  <c r="W6" i="8"/>
  <c r="V6" i="8"/>
  <c r="K6" i="8"/>
  <c r="J6" i="8"/>
  <c r="I6" i="8"/>
  <c r="L6" i="8" s="1"/>
  <c r="AJ5" i="8"/>
  <c r="AI5" i="8"/>
  <c r="AH5" i="8"/>
  <c r="X5" i="8"/>
  <c r="W5" i="8"/>
  <c r="V5" i="8"/>
  <c r="M5" i="8"/>
  <c r="K5" i="8"/>
  <c r="J5" i="8"/>
  <c r="I5" i="8"/>
  <c r="L5" i="8" s="1"/>
  <c r="AJ4" i="8"/>
  <c r="AI4" i="8"/>
  <c r="AH4" i="8"/>
  <c r="X4" i="8"/>
  <c r="W4" i="8"/>
  <c r="V4" i="8"/>
  <c r="K147" i="6"/>
  <c r="J147" i="6"/>
  <c r="K146" i="6"/>
  <c r="J146" i="6"/>
  <c r="K145" i="6"/>
  <c r="J145" i="6"/>
  <c r="K144" i="6"/>
  <c r="J144" i="6"/>
  <c r="K143" i="6"/>
  <c r="J143" i="6"/>
  <c r="K142" i="6"/>
  <c r="J142" i="6"/>
  <c r="K141" i="6"/>
  <c r="J141" i="6"/>
  <c r="K140" i="6"/>
  <c r="J140" i="6"/>
  <c r="K139" i="6"/>
  <c r="J139" i="6"/>
  <c r="K138" i="6"/>
  <c r="J138" i="6"/>
  <c r="K137" i="6"/>
  <c r="J137" i="6"/>
  <c r="K136" i="6"/>
  <c r="J136" i="6"/>
  <c r="K135" i="6"/>
  <c r="J135" i="6"/>
  <c r="K134" i="6"/>
  <c r="J134" i="6"/>
  <c r="K133" i="6"/>
  <c r="J133" i="6"/>
  <c r="K132" i="6"/>
  <c r="J132" i="6"/>
  <c r="K131" i="6"/>
  <c r="J131" i="6"/>
  <c r="K130" i="6"/>
  <c r="J130" i="6"/>
  <c r="K129" i="6"/>
  <c r="J129" i="6"/>
  <c r="K128" i="6"/>
  <c r="J128" i="6"/>
  <c r="K127" i="6"/>
  <c r="J127" i="6"/>
  <c r="K126" i="6"/>
  <c r="J126" i="6"/>
  <c r="K125" i="6"/>
  <c r="J125" i="6"/>
  <c r="K124" i="6"/>
  <c r="J124" i="6"/>
  <c r="K123" i="6"/>
  <c r="J123" i="6"/>
  <c r="K122" i="6"/>
  <c r="J122" i="6"/>
  <c r="K121" i="6"/>
  <c r="J121" i="6"/>
  <c r="K120" i="6"/>
  <c r="J120" i="6"/>
  <c r="K119" i="6"/>
  <c r="J119" i="6"/>
  <c r="K118" i="6"/>
  <c r="J118" i="6"/>
  <c r="K117" i="6"/>
  <c r="J117" i="6"/>
  <c r="K116" i="6"/>
  <c r="J116" i="6"/>
  <c r="K115" i="6"/>
  <c r="J115" i="6"/>
  <c r="K114" i="6"/>
  <c r="J114" i="6"/>
  <c r="K113" i="6"/>
  <c r="J113" i="6"/>
  <c r="K112" i="6"/>
  <c r="J112" i="6"/>
  <c r="K111" i="6"/>
  <c r="J111" i="6"/>
  <c r="K110" i="6"/>
  <c r="J110" i="6"/>
  <c r="K109" i="6"/>
  <c r="J109" i="6"/>
  <c r="K108" i="6"/>
  <c r="J108" i="6"/>
  <c r="K94" i="6"/>
  <c r="J94" i="6"/>
  <c r="K93" i="6"/>
  <c r="J93" i="6"/>
  <c r="K92" i="6"/>
  <c r="J92" i="6"/>
  <c r="K91" i="6"/>
  <c r="J91" i="6"/>
  <c r="K90" i="6"/>
  <c r="J90" i="6"/>
  <c r="K89" i="6"/>
  <c r="J89" i="6"/>
  <c r="K88" i="6"/>
  <c r="J88" i="6"/>
  <c r="K87" i="6"/>
  <c r="J87" i="6"/>
  <c r="K86" i="6"/>
  <c r="J86" i="6"/>
  <c r="K85" i="6"/>
  <c r="J85" i="6"/>
  <c r="K84" i="6"/>
  <c r="J84" i="6"/>
  <c r="K83" i="6"/>
  <c r="J83" i="6"/>
  <c r="K82" i="6"/>
  <c r="J82" i="6"/>
  <c r="K81" i="6"/>
  <c r="J81" i="6"/>
  <c r="K80" i="6"/>
  <c r="J80" i="6"/>
  <c r="K79" i="6"/>
  <c r="J79" i="6"/>
  <c r="K78" i="6"/>
  <c r="J78" i="6"/>
  <c r="K77" i="6"/>
  <c r="J77" i="6"/>
  <c r="K76" i="6"/>
  <c r="J76" i="6"/>
  <c r="K75" i="6"/>
  <c r="J75" i="6"/>
  <c r="K74" i="6"/>
  <c r="J74" i="6"/>
  <c r="K73" i="6"/>
  <c r="J73" i="6"/>
  <c r="K72" i="6"/>
  <c r="J72" i="6"/>
  <c r="K71" i="6"/>
  <c r="J71" i="6"/>
  <c r="K70" i="6"/>
  <c r="J70" i="6"/>
  <c r="K69" i="6"/>
  <c r="J69" i="6"/>
  <c r="K68" i="6"/>
  <c r="J68" i="6"/>
  <c r="K67" i="6"/>
  <c r="J67" i="6"/>
  <c r="K66" i="6"/>
  <c r="J66" i="6"/>
  <c r="K65" i="6"/>
  <c r="J65" i="6"/>
  <c r="K64" i="6"/>
  <c r="J64" i="6"/>
  <c r="K63" i="6"/>
  <c r="J63" i="6"/>
  <c r="K62" i="6"/>
  <c r="J62" i="6"/>
  <c r="K61" i="6"/>
  <c r="J61" i="6"/>
  <c r="K60" i="6"/>
  <c r="J60" i="6"/>
  <c r="K59" i="6"/>
  <c r="J59" i="6"/>
  <c r="K58" i="6"/>
  <c r="J58" i="6"/>
  <c r="K57" i="6"/>
  <c r="J57" i="6"/>
  <c r="K56" i="6"/>
  <c r="J56" i="6"/>
  <c r="K44" i="6"/>
  <c r="J44" i="6"/>
  <c r="K43" i="6"/>
  <c r="J43" i="6"/>
  <c r="K42" i="6"/>
  <c r="J42" i="6"/>
  <c r="K41" i="6"/>
  <c r="J41" i="6"/>
  <c r="K40" i="6"/>
  <c r="J40" i="6"/>
  <c r="K39" i="6"/>
  <c r="J39" i="6"/>
  <c r="K38" i="6"/>
  <c r="J38" i="6"/>
  <c r="K37" i="6"/>
  <c r="J37" i="6"/>
  <c r="K36" i="6"/>
  <c r="J36" i="6"/>
  <c r="K35" i="6"/>
  <c r="J35" i="6"/>
  <c r="K34" i="6"/>
  <c r="J34" i="6"/>
  <c r="K33" i="6"/>
  <c r="J33" i="6"/>
  <c r="K32" i="6"/>
  <c r="J32" i="6"/>
  <c r="K31" i="6"/>
  <c r="J31" i="6"/>
  <c r="K30" i="6"/>
  <c r="J30" i="6"/>
  <c r="K29" i="6"/>
  <c r="J29" i="6"/>
  <c r="K28" i="6"/>
  <c r="J28" i="6"/>
  <c r="K27" i="6"/>
  <c r="J27" i="6"/>
  <c r="K26" i="6"/>
  <c r="J26" i="6"/>
  <c r="K25" i="6"/>
  <c r="J25" i="6"/>
  <c r="K24" i="6"/>
  <c r="J24" i="6"/>
  <c r="K23" i="6"/>
  <c r="J23" i="6"/>
  <c r="K22" i="6"/>
  <c r="J22" i="6"/>
  <c r="K21" i="6"/>
  <c r="J21" i="6"/>
  <c r="K20" i="6"/>
  <c r="J20" i="6"/>
  <c r="K19" i="6"/>
  <c r="J19" i="6"/>
  <c r="K18" i="6"/>
  <c r="J18" i="6"/>
  <c r="K17" i="6"/>
  <c r="J17" i="6"/>
  <c r="K16" i="6"/>
  <c r="J16" i="6"/>
  <c r="K15" i="6"/>
  <c r="J15" i="6"/>
  <c r="K14" i="6"/>
  <c r="J14" i="6"/>
  <c r="K13" i="6"/>
  <c r="J13" i="6"/>
  <c r="K12" i="6"/>
  <c r="J12" i="6"/>
  <c r="K11" i="6"/>
  <c r="J11" i="6"/>
  <c r="K10" i="6"/>
  <c r="J10" i="6"/>
  <c r="K9" i="6"/>
  <c r="J9" i="6"/>
  <c r="K8" i="6"/>
  <c r="J8" i="6"/>
  <c r="K7" i="6"/>
  <c r="J7" i="6"/>
  <c r="K6" i="6"/>
  <c r="J6" i="6"/>
  <c r="K5" i="6"/>
  <c r="J5" i="6"/>
  <c r="T91" i="11" l="1"/>
  <c r="T93" i="11" s="1"/>
  <c r="AE92" i="11"/>
  <c r="F90" i="11"/>
  <c r="F92" i="11" s="1"/>
  <c r="K90" i="11"/>
  <c r="K92" i="11" s="1"/>
  <c r="AE94" i="11"/>
  <c r="AJ92" i="11"/>
  <c r="AJ94" i="11" s="1"/>
  <c r="AS55" i="8"/>
  <c r="AS66" i="8"/>
  <c r="AN58" i="8"/>
  <c r="AA76" i="8"/>
  <c r="V66" i="8"/>
  <c r="V58" i="8"/>
  <c r="K68" i="8"/>
  <c r="N21" i="8"/>
  <c r="N12" i="8"/>
  <c r="N8" i="8"/>
  <c r="N17" i="8"/>
  <c r="N14" i="8"/>
  <c r="N19" i="8"/>
  <c r="N30" i="8"/>
  <c r="N39" i="8"/>
  <c r="N41" i="8"/>
  <c r="N10" i="8"/>
  <c r="N26" i="8"/>
  <c r="N35" i="8"/>
  <c r="N15" i="8"/>
  <c r="N6" i="8"/>
  <c r="N11" i="8"/>
  <c r="N22" i="8"/>
  <c r="N18" i="8"/>
  <c r="N38" i="8"/>
  <c r="M6" i="8"/>
  <c r="N9" i="8"/>
  <c r="M13" i="8"/>
  <c r="N16" i="8"/>
  <c r="N25" i="8"/>
  <c r="N34" i="8"/>
  <c r="N7" i="8"/>
  <c r="N23" i="8"/>
  <c r="N32" i="8"/>
  <c r="N36" i="8"/>
  <c r="N5" i="8"/>
  <c r="N13" i="8"/>
  <c r="N29" i="8"/>
  <c r="N20" i="8"/>
  <c r="K64" i="8"/>
  <c r="V70" i="8"/>
  <c r="K73" i="8"/>
  <c r="F80" i="8"/>
  <c r="AA86" i="8"/>
  <c r="V52" i="8"/>
  <c r="F67" i="8"/>
  <c r="V79" i="8"/>
  <c r="V84" i="8"/>
  <c r="K60" i="8"/>
  <c r="K67" i="8"/>
  <c r="AN82" i="8"/>
  <c r="AV82" i="8"/>
  <c r="AS82" i="8"/>
  <c r="F66" i="8"/>
  <c r="K66" i="8"/>
  <c r="V74" i="8"/>
  <c r="G53" i="8"/>
  <c r="K53" i="8" s="1"/>
  <c r="G57" i="8"/>
  <c r="K57" i="8" s="1"/>
  <c r="V57" i="8"/>
  <c r="AV66" i="8"/>
  <c r="W68" i="8"/>
  <c r="V68" i="8" s="1"/>
  <c r="W77" i="8"/>
  <c r="AA77" i="8" s="1"/>
  <c r="F79" i="8"/>
  <c r="K84" i="8"/>
  <c r="G86" i="8"/>
  <c r="K86" i="8" s="1"/>
  <c r="G82" i="8"/>
  <c r="G78" i="8"/>
  <c r="F78" i="8" s="1"/>
  <c r="G74" i="8"/>
  <c r="K74" i="8" s="1"/>
  <c r="G70" i="8"/>
  <c r="G66" i="8"/>
  <c r="G83" i="8"/>
  <c r="K83" i="8" s="1"/>
  <c r="G80" i="8"/>
  <c r="G77" i="8"/>
  <c r="G71" i="8"/>
  <c r="F71" i="8" s="1"/>
  <c r="G88" i="8"/>
  <c r="G89" i="8" s="1"/>
  <c r="K89" i="8" s="1"/>
  <c r="G85" i="8"/>
  <c r="K85" i="8" s="1"/>
  <c r="G76" i="8"/>
  <c r="G73" i="8"/>
  <c r="F73" i="8" s="1"/>
  <c r="G67" i="8"/>
  <c r="G62" i="8"/>
  <c r="K62" i="8" s="1"/>
  <c r="G58" i="8"/>
  <c r="F58" i="8" s="1"/>
  <c r="G55" i="8"/>
  <c r="F55" i="8" s="1"/>
  <c r="AV55" i="8"/>
  <c r="F60" i="8"/>
  <c r="AO67" i="8"/>
  <c r="AO71" i="8"/>
  <c r="G72" i="8"/>
  <c r="F72" i="8" s="1"/>
  <c r="W72" i="8"/>
  <c r="AO78" i="8"/>
  <c r="G79" i="8"/>
  <c r="AA89" i="8"/>
  <c r="M27" i="8"/>
  <c r="N27" i="8" s="1"/>
  <c r="AO91" i="8"/>
  <c r="AO88" i="8"/>
  <c r="W87" i="8"/>
  <c r="AA87" i="8" s="1"/>
  <c r="AO84" i="8"/>
  <c r="W83" i="8"/>
  <c r="AA83" i="8" s="1"/>
  <c r="AO80" i="8"/>
  <c r="W79" i="8"/>
  <c r="AA79" i="8" s="1"/>
  <c r="AO76" i="8"/>
  <c r="W75" i="8"/>
  <c r="AA75" i="8" s="1"/>
  <c r="AO72" i="8"/>
  <c r="W71" i="8"/>
  <c r="AO68" i="8"/>
  <c r="W67" i="8"/>
  <c r="W86" i="8"/>
  <c r="W88" i="8"/>
  <c r="W89" i="8" s="1"/>
  <c r="AO85" i="8"/>
  <c r="W74" i="8"/>
  <c r="AA74" i="8" s="1"/>
  <c r="W65" i="8"/>
  <c r="AA65" i="8" s="1"/>
  <c r="AO90" i="8"/>
  <c r="W82" i="8"/>
  <c r="AA82" i="8" s="1"/>
  <c r="AO87" i="8"/>
  <c r="W84" i="8"/>
  <c r="AA84" i="8" s="1"/>
  <c r="AO81" i="8"/>
  <c r="W70" i="8"/>
  <c r="AA70" i="8" s="1"/>
  <c r="AO64" i="8"/>
  <c r="W63" i="8"/>
  <c r="V63" i="8" s="1"/>
  <c r="AO60" i="8"/>
  <c r="W59" i="8"/>
  <c r="V59" i="8" s="1"/>
  <c r="AO89" i="8"/>
  <c r="AO86" i="8"/>
  <c r="AO83" i="8"/>
  <c r="W80" i="8"/>
  <c r="V80" i="8" s="1"/>
  <c r="AO77" i="8"/>
  <c r="G52" i="8"/>
  <c r="F52" i="8" s="1"/>
  <c r="W53" i="8"/>
  <c r="V53" i="8" s="1"/>
  <c r="W55" i="8"/>
  <c r="V55" i="8" s="1"/>
  <c r="AN55" i="8"/>
  <c r="AO57" i="8"/>
  <c r="AO59" i="8"/>
  <c r="G60" i="8"/>
  <c r="AN66" i="8"/>
  <c r="AN75" i="8"/>
  <c r="V78" i="8"/>
  <c r="K79" i="8"/>
  <c r="V85" i="8"/>
  <c r="V86" i="8"/>
  <c r="AA88" i="8"/>
  <c r="F89" i="8"/>
  <c r="AN62" i="8"/>
  <c r="F64" i="8"/>
  <c r="K72" i="8"/>
  <c r="V83" i="8"/>
  <c r="W85" i="8"/>
  <c r="W52" i="8"/>
  <c r="AA52" i="8" s="1"/>
  <c r="AO53" i="8"/>
  <c r="G56" i="8"/>
  <c r="F56" i="8" s="1"/>
  <c r="AS58" i="8"/>
  <c r="W60" i="8"/>
  <c r="V60" i="8" s="1"/>
  <c r="AO61" i="8"/>
  <c r="AO63" i="8"/>
  <c r="G64" i="8"/>
  <c r="AO65" i="8"/>
  <c r="AO70" i="8"/>
  <c r="AO74" i="8"/>
  <c r="W81" i="8"/>
  <c r="AA81" i="8" s="1"/>
  <c r="K88" i="8"/>
  <c r="G54" i="8"/>
  <c r="K54" i="8" s="1"/>
  <c r="K59" i="8"/>
  <c r="G63" i="8"/>
  <c r="G65" i="8"/>
  <c r="K65" i="8" s="1"/>
  <c r="AO79" i="8"/>
  <c r="AA85" i="8"/>
  <c r="G87" i="8"/>
  <c r="G51" i="8"/>
  <c r="K51" i="8" s="1"/>
  <c r="AO52" i="8"/>
  <c r="W54" i="8"/>
  <c r="AA54" i="8" s="1"/>
  <c r="W56" i="8"/>
  <c r="AS62" i="8"/>
  <c r="W64" i="8"/>
  <c r="AA64" i="8" s="1"/>
  <c r="AO69" i="8"/>
  <c r="AO73" i="8"/>
  <c r="G75" i="8"/>
  <c r="F75" i="8" s="1"/>
  <c r="AS75" i="8"/>
  <c r="G81" i="8"/>
  <c r="K81" i="8" s="1"/>
  <c r="F86" i="8"/>
  <c r="AO54" i="8"/>
  <c r="AO56" i="8"/>
  <c r="AV58" i="8"/>
  <c r="G69" i="8"/>
  <c r="F69" i="8" s="1"/>
  <c r="W69" i="8"/>
  <c r="W73" i="8"/>
  <c r="AA73" i="8" s="1"/>
  <c r="K75" i="8"/>
  <c r="F83" i="8"/>
  <c r="G84" i="8"/>
  <c r="V89" i="8"/>
  <c r="AV63" i="8" l="1"/>
  <c r="AS63" i="8"/>
  <c r="AN63" i="8"/>
  <c r="AV89" i="8"/>
  <c r="AS89" i="8"/>
  <c r="AN89" i="8"/>
  <c r="AV87" i="8"/>
  <c r="AS87" i="8"/>
  <c r="AN87" i="8"/>
  <c r="K70" i="8"/>
  <c r="F51" i="8"/>
  <c r="V87" i="8"/>
  <c r="F65" i="8"/>
  <c r="AN52" i="8"/>
  <c r="AV52" i="8"/>
  <c r="AS52" i="8"/>
  <c r="AS61" i="8"/>
  <c r="AN61" i="8"/>
  <c r="AV61" i="8"/>
  <c r="AN68" i="8"/>
  <c r="AV68" i="8"/>
  <c r="AS68" i="8"/>
  <c r="AS84" i="8"/>
  <c r="AN84" i="8"/>
  <c r="AV84" i="8"/>
  <c r="AV78" i="8"/>
  <c r="AS78" i="8"/>
  <c r="AN78" i="8"/>
  <c r="AA69" i="8"/>
  <c r="V69" i="8"/>
  <c r="K52" i="8"/>
  <c r="AA67" i="8"/>
  <c r="V82" i="8"/>
  <c r="AS60" i="8"/>
  <c r="AN60" i="8"/>
  <c r="AV60" i="8"/>
  <c r="AV90" i="8"/>
  <c r="AS90" i="8"/>
  <c r="AN90" i="8"/>
  <c r="F82" i="8"/>
  <c r="V67" i="8"/>
  <c r="AA59" i="8"/>
  <c r="V77" i="8"/>
  <c r="V91" i="8" s="1"/>
  <c r="F70" i="8"/>
  <c r="AA60" i="8"/>
  <c r="K63" i="8"/>
  <c r="F62" i="8"/>
  <c r="F54" i="8"/>
  <c r="F76" i="8"/>
  <c r="K77" i="8"/>
  <c r="AA63" i="8"/>
  <c r="V65" i="8"/>
  <c r="K55" i="8"/>
  <c r="K78" i="8"/>
  <c r="V75" i="8"/>
  <c r="F74" i="8"/>
  <c r="K56" i="8"/>
  <c r="F77" i="8"/>
  <c r="AN74" i="8"/>
  <c r="AS74" i="8"/>
  <c r="AV74" i="8"/>
  <c r="AV72" i="8"/>
  <c r="AS72" i="8"/>
  <c r="AN72" i="8"/>
  <c r="AN69" i="8"/>
  <c r="AV69" i="8"/>
  <c r="AS69" i="8"/>
  <c r="F85" i="8"/>
  <c r="V73" i="8"/>
  <c r="F63" i="8"/>
  <c r="V54" i="8"/>
  <c r="K71" i="8"/>
  <c r="F87" i="8"/>
  <c r="AA55" i="8"/>
  <c r="AN73" i="8"/>
  <c r="AV73" i="8"/>
  <c r="AS73" i="8"/>
  <c r="AN77" i="8"/>
  <c r="AV77" i="8"/>
  <c r="AS77" i="8"/>
  <c r="AN91" i="8"/>
  <c r="AV91" i="8"/>
  <c r="AS91" i="8"/>
  <c r="AS56" i="8"/>
  <c r="AN56" i="8"/>
  <c r="AV56" i="8"/>
  <c r="AN70" i="8"/>
  <c r="AS70" i="8"/>
  <c r="AV70" i="8"/>
  <c r="K76" i="8"/>
  <c r="AN54" i="8"/>
  <c r="AV54" i="8"/>
  <c r="AS54" i="8"/>
  <c r="F84" i="8"/>
  <c r="AN65" i="8"/>
  <c r="AS65" i="8"/>
  <c r="AV65" i="8"/>
  <c r="K58" i="8"/>
  <c r="K82" i="8"/>
  <c r="AV57" i="8"/>
  <c r="AS57" i="8"/>
  <c r="AN57" i="8"/>
  <c r="AV83" i="8"/>
  <c r="AN83" i="8"/>
  <c r="AS83" i="8"/>
  <c r="AV81" i="8"/>
  <c r="AS81" i="8"/>
  <c r="AN81" i="8"/>
  <c r="AV71" i="8"/>
  <c r="AN71" i="8"/>
  <c r="AS71" i="8"/>
  <c r="AA80" i="8"/>
  <c r="V71" i="8"/>
  <c r="V64" i="8"/>
  <c r="K69" i="8"/>
  <c r="F53" i="8"/>
  <c r="AA53" i="8"/>
  <c r="K87" i="8"/>
  <c r="F81" i="8"/>
  <c r="AN88" i="8"/>
  <c r="AV88" i="8"/>
  <c r="AS88" i="8"/>
  <c r="AV79" i="8"/>
  <c r="AS79" i="8"/>
  <c r="AN79" i="8"/>
  <c r="AS64" i="8"/>
  <c r="AN64" i="8"/>
  <c r="AV64" i="8"/>
  <c r="AA72" i="8"/>
  <c r="V72" i="8"/>
  <c r="AS53" i="8"/>
  <c r="AN53" i="8"/>
  <c r="AV53" i="8"/>
  <c r="AV59" i="8"/>
  <c r="AS59" i="8"/>
  <c r="AN59" i="8"/>
  <c r="AV85" i="8"/>
  <c r="AS85" i="8"/>
  <c r="AN85" i="8"/>
  <c r="AV76" i="8"/>
  <c r="AS76" i="8"/>
  <c r="AN76" i="8"/>
  <c r="V81" i="8"/>
  <c r="V56" i="8"/>
  <c r="AA56" i="8"/>
  <c r="AN86" i="8"/>
  <c r="AV86" i="8"/>
  <c r="AS86" i="8"/>
  <c r="AV80" i="8"/>
  <c r="AS80" i="8"/>
  <c r="AN80" i="8"/>
  <c r="AV67" i="8"/>
  <c r="AN67" i="8"/>
  <c r="AS67" i="8"/>
  <c r="F57" i="8"/>
  <c r="V88" i="8"/>
  <c r="AA71" i="8"/>
  <c r="K80" i="8"/>
  <c r="F88" i="8"/>
  <c r="AA68" i="8"/>
  <c r="AA91" i="8" l="1"/>
  <c r="AA93" i="8" s="1"/>
  <c r="V93" i="8"/>
  <c r="K90" i="8"/>
  <c r="K92" i="8" s="1"/>
  <c r="AN92" i="8"/>
  <c r="AN94" i="8" s="1"/>
  <c r="AV92" i="8"/>
  <c r="AV94" i="8" s="1"/>
  <c r="F90" i="8"/>
  <c r="F92" i="8" s="1"/>
  <c r="AS92" i="8"/>
  <c r="AS94" i="8" s="1"/>
</calcChain>
</file>

<file path=xl/sharedStrings.xml><?xml version="1.0" encoding="utf-8"?>
<sst xmlns="http://schemas.openxmlformats.org/spreadsheetml/2006/main" count="172" uniqueCount="36">
  <si>
    <t xml:space="preserve">ns/s to cm/s </t>
  </si>
  <si>
    <t>G(z)</t>
  </si>
  <si>
    <t>D_z</t>
  </si>
  <si>
    <t>1/P</t>
  </si>
  <si>
    <t>P</t>
  </si>
  <si>
    <t>exp(bΔG(z-z0))/D_Z</t>
  </si>
  <si>
    <t>Δz*exp(bΔG(z-z0))/D_Z</t>
  </si>
  <si>
    <t>Ethanol</t>
  </si>
  <si>
    <t>Z_Ethanol</t>
  </si>
  <si>
    <t>Temozolomide</t>
  </si>
  <si>
    <t>Caffeine</t>
  </si>
  <si>
    <t>ns to cm</t>
  </si>
  <si>
    <t>Δz (cm)</t>
  </si>
  <si>
    <t>METHOD 1</t>
  </si>
  <si>
    <t>METHOD2</t>
  </si>
  <si>
    <t>METHOD3</t>
  </si>
  <si>
    <t>METHOD 2</t>
  </si>
  <si>
    <t>METHOD 3</t>
  </si>
  <si>
    <t>Z</t>
  </si>
  <si>
    <t>500 ns /window</t>
  </si>
  <si>
    <t>Avg PMF</t>
  </si>
  <si>
    <t>StDev</t>
  </si>
  <si>
    <t>35 to 40 ns</t>
  </si>
  <si>
    <t>ΔΔG</t>
  </si>
  <si>
    <t>P_sim</t>
  </si>
  <si>
    <t>P_app</t>
  </si>
  <si>
    <t>DDG</t>
  </si>
  <si>
    <r>
      <t>1.10E10</t>
    </r>
    <r>
      <rPr>
        <vertAlign val="superscript"/>
        <sz val="14"/>
        <color rgb="FF000000"/>
        <rFont val="Calibri (Body)"/>
      </rPr>
      <t>-3</t>
    </r>
  </si>
  <si>
    <r>
      <t>2.10E10</t>
    </r>
    <r>
      <rPr>
        <vertAlign val="superscript"/>
        <sz val="14"/>
        <color rgb="FF000000"/>
        <rFont val="Calibri (Body)"/>
      </rPr>
      <t>-5</t>
    </r>
  </si>
  <si>
    <r>
      <t>1.86E10</t>
    </r>
    <r>
      <rPr>
        <vertAlign val="superscript"/>
        <sz val="14"/>
        <color rgb="FF000000"/>
        <rFont val="Calibri (Body)"/>
      </rPr>
      <t>-6</t>
    </r>
  </si>
  <si>
    <t>P_sim/P_app</t>
  </si>
  <si>
    <t>METHOD3 (Lyman fit)</t>
  </si>
  <si>
    <t>*</t>
  </si>
  <si>
    <t>Corrected according to [46]</t>
  </si>
  <si>
    <t>[46]</t>
  </si>
  <si>
    <r>
      <t xml:space="preserve">Fitzgerald, J. E.; Venable, R. M.; Pastor, R. W.; Lyman, E. R. Surface Viscosities of Lipid Bilayers Determined from Equilibrium Molecular Dynamics Simulations. </t>
    </r>
    <r>
      <rPr>
        <i/>
        <sz val="12"/>
        <color rgb="FF000000"/>
        <rFont val="Times New Roman"/>
        <family val="1"/>
      </rPr>
      <t>Biophys J</t>
    </r>
    <r>
      <rPr>
        <sz val="12"/>
        <color rgb="FF000000"/>
        <rFont val="Times New Roman"/>
        <family val="1"/>
      </rPr>
      <t xml:space="preserve"> 2023, </t>
    </r>
    <r>
      <rPr>
        <i/>
        <sz val="12"/>
        <color rgb="FF000000"/>
        <rFont val="Times New Roman"/>
        <family val="1"/>
      </rPr>
      <t>122</t>
    </r>
    <r>
      <rPr>
        <sz val="12"/>
        <color rgb="FF000000"/>
        <rFont val="Times New Roman"/>
        <family val="1"/>
      </rPr>
      <t xml:space="preserve"> (6), 1094–1104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</si>
</sst>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E+00"/>
    <numFmt numFmtId="165" formatCode="0.000"/>
    <numFmt numFmtId="166" formatCode="0.0E+00"/>
    <numFmt numFmtId="167" formatCode="0E+00"/>
  </numFmts>
  <fonts count="16" x14ac:knownFonts="1">
    <font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00"/>
      <name val="Arial"/>
      <family val="2"/>
    </font>
    <font>
      <sz val="11"/>
      <color theme="1"/>
      <name val="Arial"/>
      <family val="2"/>
    </font>
    <font>
      <sz val="11"/>
      <color rgb="FF000000"/>
      <name val="Menlo"/>
      <family val="2"/>
    </font>
    <font>
      <sz val="10"/>
      <color rgb="FF000000"/>
      <name val="Menlo"/>
      <family val="2"/>
    </font>
    <font>
      <sz val="10"/>
      <color theme="1"/>
      <name val="Calibri"/>
      <family val="2"/>
      <scheme val="minor"/>
    </font>
    <font>
      <sz val="12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Calibri (Body)"/>
    </font>
    <font>
      <sz val="14"/>
      <color rgb="FF000000"/>
      <name val="Calibri (Body)"/>
    </font>
    <font>
      <vertAlign val="superscript"/>
      <sz val="14"/>
      <color rgb="FF000000"/>
      <name val="Calibri (Body)"/>
    </font>
    <font>
      <sz val="12"/>
      <color rgb="FF000000"/>
      <name val="Times New Roman"/>
      <family val="1"/>
    </font>
    <font>
      <i/>
      <sz val="12"/>
      <color rgb="FF000000"/>
      <name val="Times New Roman"/>
      <family val="1"/>
    </font>
  </fonts>
  <fills count="1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0000"/>
        <bgColor rgb="FF000000"/>
      </patternFill>
    </fill>
    <fill>
      <patternFill patternType="solid">
        <fgColor rgb="FF000000"/>
        <bgColor rgb="FF000000"/>
      </patternFill>
    </fill>
    <fill>
      <patternFill patternType="solid">
        <fgColor rgb="FFDBDBDB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1">
    <xf numFmtId="0" fontId="0" fillId="0" borderId="0" xfId="0"/>
    <xf numFmtId="11" fontId="0" fillId="0" borderId="0" xfId="0" applyNumberFormat="1"/>
    <xf numFmtId="0" fontId="1" fillId="3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4" borderId="0" xfId="0" applyFill="1" applyAlignment="1">
      <alignment horizontal="center"/>
    </xf>
    <xf numFmtId="0" fontId="0" fillId="6" borderId="0" xfId="0" applyFill="1" applyAlignment="1">
      <alignment horizontal="center"/>
    </xf>
    <xf numFmtId="11" fontId="2" fillId="7" borderId="0" xfId="0" applyNumberFormat="1" applyFont="1" applyFill="1" applyAlignment="1">
      <alignment horizontal="center"/>
    </xf>
    <xf numFmtId="164" fontId="2" fillId="7" borderId="0" xfId="0" applyNumberFormat="1" applyFont="1" applyFill="1" applyAlignment="1">
      <alignment horizontal="center"/>
    </xf>
    <xf numFmtId="0" fontId="2" fillId="7" borderId="0" xfId="0" applyFont="1" applyFill="1" applyAlignment="1">
      <alignment horizontal="center"/>
    </xf>
    <xf numFmtId="0" fontId="0" fillId="2" borderId="0" xfId="0" applyFill="1"/>
    <xf numFmtId="0" fontId="3" fillId="0" borderId="0" xfId="0" applyFont="1"/>
    <xf numFmtId="0" fontId="4" fillId="0" borderId="0" xfId="0" applyFont="1"/>
    <xf numFmtId="11" fontId="5" fillId="0" borderId="0" xfId="0" applyNumberFormat="1" applyFont="1"/>
    <xf numFmtId="0" fontId="5" fillId="0" borderId="0" xfId="0" applyFont="1"/>
    <xf numFmtId="11" fontId="6" fillId="0" borderId="0" xfId="0" applyNumberFormat="1" applyFont="1"/>
    <xf numFmtId="11" fontId="7" fillId="0" borderId="0" xfId="0" applyNumberFormat="1" applyFont="1"/>
    <xf numFmtId="0" fontId="7" fillId="0" borderId="0" xfId="0" applyFont="1"/>
    <xf numFmtId="0" fontId="0" fillId="5" borderId="0" xfId="0" applyFill="1"/>
    <xf numFmtId="0" fontId="0" fillId="8" borderId="0" xfId="0" applyFill="1"/>
    <xf numFmtId="0" fontId="2" fillId="9" borderId="0" xfId="0" applyFont="1" applyFill="1"/>
    <xf numFmtId="0" fontId="8" fillId="10" borderId="0" xfId="0" applyFont="1" applyFill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2" fillId="7" borderId="0" xfId="0" applyFont="1" applyFill="1"/>
    <xf numFmtId="0" fontId="2" fillId="11" borderId="0" xfId="0" applyFont="1" applyFill="1" applyAlignment="1">
      <alignment horizontal="center"/>
    </xf>
    <xf numFmtId="0" fontId="2" fillId="12" borderId="0" xfId="0" applyFont="1" applyFill="1" applyAlignment="1">
      <alignment horizontal="center"/>
    </xf>
    <xf numFmtId="11" fontId="9" fillId="0" borderId="0" xfId="0" applyNumberFormat="1" applyFont="1"/>
    <xf numFmtId="0" fontId="9" fillId="0" borderId="0" xfId="0" applyFont="1"/>
    <xf numFmtId="11" fontId="9" fillId="2" borderId="0" xfId="0" applyNumberFormat="1" applyFont="1" applyFill="1"/>
    <xf numFmtId="0" fontId="0" fillId="13" borderId="0" xfId="0" applyFill="1"/>
    <xf numFmtId="2" fontId="0" fillId="0" borderId="0" xfId="0" applyNumberFormat="1"/>
    <xf numFmtId="0" fontId="0" fillId="4" borderId="0" xfId="0" applyFill="1"/>
    <xf numFmtId="0" fontId="10" fillId="0" borderId="0" xfId="0" applyFont="1"/>
    <xf numFmtId="0" fontId="5" fillId="2" borderId="0" xfId="0" applyFont="1" applyFill="1"/>
    <xf numFmtId="2" fontId="10" fillId="2" borderId="0" xfId="0" applyNumberFormat="1" applyFont="1" applyFill="1"/>
    <xf numFmtId="2" fontId="4" fillId="2" borderId="0" xfId="0" applyNumberFormat="1" applyFont="1" applyFill="1"/>
    <xf numFmtId="2" fontId="2" fillId="7" borderId="0" xfId="0" applyNumberFormat="1" applyFont="1" applyFill="1" applyAlignment="1">
      <alignment horizontal="center"/>
    </xf>
    <xf numFmtId="165" fontId="5" fillId="0" borderId="0" xfId="0" applyNumberFormat="1" applyFont="1"/>
    <xf numFmtId="2" fontId="5" fillId="0" borderId="0" xfId="0" applyNumberFormat="1" applyFont="1"/>
    <xf numFmtId="165" fontId="6" fillId="0" borderId="0" xfId="0" applyNumberFormat="1" applyFont="1"/>
    <xf numFmtId="165" fontId="0" fillId="0" borderId="0" xfId="0" applyNumberFormat="1"/>
    <xf numFmtId="0" fontId="1" fillId="5" borderId="0" xfId="0" applyFont="1" applyFill="1"/>
    <xf numFmtId="0" fontId="11" fillId="0" borderId="0" xfId="0" applyFont="1" applyAlignment="1">
      <alignment horizontal="center"/>
    </xf>
    <xf numFmtId="0" fontId="11" fillId="0" borderId="0" xfId="0" applyFont="1"/>
    <xf numFmtId="11" fontId="12" fillId="0" borderId="0" xfId="0" applyNumberFormat="1" applyFont="1" applyAlignment="1">
      <alignment horizontal="center" vertical="center" wrapText="1"/>
    </xf>
    <xf numFmtId="2" fontId="11" fillId="0" borderId="0" xfId="0" applyNumberFormat="1" applyFont="1"/>
    <xf numFmtId="0" fontId="12" fillId="0" borderId="0" xfId="0" applyFont="1" applyAlignment="1">
      <alignment horizontal="center" vertical="center" wrapText="1"/>
    </xf>
    <xf numFmtId="166" fontId="5" fillId="0" borderId="0" xfId="0" applyNumberFormat="1" applyFont="1"/>
    <xf numFmtId="167" fontId="5" fillId="0" borderId="0" xfId="0" applyNumberFormat="1" applyFont="1"/>
    <xf numFmtId="0" fontId="0" fillId="14" borderId="0" xfId="0" applyFill="1"/>
    <xf numFmtId="0" fontId="1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3D2E4-1018-A049-B4BA-911D6B0BA3A9}">
  <dimension ref="A1:AJ101"/>
  <sheetViews>
    <sheetView tabSelected="1" topLeftCell="Q56" zoomScale="75" zoomScaleNormal="91" workbookViewId="0">
      <selection activeCell="AA8" sqref="AA8"/>
    </sheetView>
  </sheetViews>
  <sheetFormatPr baseColWidth="10" defaultRowHeight="16" x14ac:dyDescent="0.2"/>
  <cols>
    <col min="1" max="1" width="13.83203125" bestFit="1" customWidth="1"/>
    <col min="2" max="2" width="11" bestFit="1" customWidth="1"/>
    <col min="3" max="3" width="11.6640625" bestFit="1" customWidth="1"/>
    <col min="4" max="4" width="21" customWidth="1"/>
    <col min="5" max="5" width="19.5" customWidth="1"/>
    <col min="6" max="6" width="18.33203125" customWidth="1"/>
    <col min="7" max="7" width="13.5" bestFit="1" customWidth="1"/>
    <col min="9" max="9" width="21.33203125" customWidth="1"/>
    <col min="10" max="10" width="12.33203125" customWidth="1"/>
    <col min="11" max="11" width="14.83203125" customWidth="1"/>
    <col min="12" max="12" width="11" bestFit="1" customWidth="1"/>
    <col min="14" max="14" width="13.5" bestFit="1" customWidth="1"/>
    <col min="15" max="15" width="21.1640625" customWidth="1"/>
    <col min="16" max="16" width="18.1640625" customWidth="1"/>
    <col min="17" max="17" width="17.1640625" customWidth="1"/>
    <col min="18" max="18" width="11" customWidth="1"/>
    <col min="19" max="19" width="13" bestFit="1" customWidth="1"/>
    <col min="20" max="20" width="12.6640625" bestFit="1" customWidth="1"/>
    <col min="21" max="21" width="11" bestFit="1" customWidth="1"/>
    <col min="22" max="22" width="11.1640625" bestFit="1" customWidth="1"/>
    <col min="23" max="23" width="12.83203125" bestFit="1" customWidth="1"/>
    <col min="24" max="24" width="24.33203125" customWidth="1"/>
    <col min="25" max="25" width="18.5" customWidth="1"/>
    <col min="26" max="26" width="16.83203125" customWidth="1"/>
    <col min="27" max="27" width="11" bestFit="1" customWidth="1"/>
    <col min="28" max="28" width="14.33203125" customWidth="1"/>
    <col min="29" max="29" width="18" customWidth="1"/>
    <col min="30" max="30" width="17" customWidth="1"/>
    <col min="31" max="31" width="12.5" bestFit="1" customWidth="1"/>
    <col min="32" max="32" width="12.1640625" bestFit="1" customWidth="1"/>
    <col min="36" max="36" width="12.1640625" bestFit="1" customWidth="1"/>
    <col min="39" max="39" width="12.83203125" bestFit="1" customWidth="1"/>
  </cols>
  <sheetData>
    <row r="1" spans="2:28" x14ac:dyDescent="0.2">
      <c r="O1" s="9" t="s">
        <v>10</v>
      </c>
      <c r="X1" s="9" t="s">
        <v>9</v>
      </c>
    </row>
    <row r="2" spans="2:28" x14ac:dyDescent="0.2">
      <c r="C2" s="9" t="s">
        <v>7</v>
      </c>
      <c r="O2" s="12"/>
    </row>
    <row r="3" spans="2:28" x14ac:dyDescent="0.2">
      <c r="N3" s="29" t="s">
        <v>18</v>
      </c>
      <c r="O3" s="17" t="s">
        <v>13</v>
      </c>
      <c r="P3" s="17" t="s">
        <v>31</v>
      </c>
      <c r="W3" s="29" t="s">
        <v>18</v>
      </c>
      <c r="X3" s="17" t="s">
        <v>13</v>
      </c>
      <c r="Y3" s="17" t="s">
        <v>31</v>
      </c>
    </row>
    <row r="4" spans="2:28" x14ac:dyDescent="0.2">
      <c r="B4" s="29" t="s">
        <v>18</v>
      </c>
      <c r="C4" s="17" t="s">
        <v>13</v>
      </c>
      <c r="D4" s="17" t="s">
        <v>31</v>
      </c>
      <c r="F4" s="49" t="s">
        <v>32</v>
      </c>
      <c r="N4" s="38">
        <v>-3.6023999999999998</v>
      </c>
      <c r="O4" s="12">
        <v>1.5794875114177898E-5</v>
      </c>
      <c r="P4" s="12"/>
      <c r="T4" s="30"/>
      <c r="U4" s="1"/>
      <c r="W4" s="38">
        <v>-3.645</v>
      </c>
      <c r="X4" s="12">
        <v>1.7908881534165501E-5</v>
      </c>
      <c r="Y4" s="12">
        <f>X4</f>
        <v>1.7908881534165501E-5</v>
      </c>
      <c r="Z4" s="1"/>
      <c r="AA4" s="1"/>
      <c r="AB4" s="1"/>
    </row>
    <row r="5" spans="2:28" x14ac:dyDescent="0.2">
      <c r="B5" s="38">
        <v>-3.4807999999999999</v>
      </c>
      <c r="C5" s="12">
        <v>3.40758111313709E-5</v>
      </c>
      <c r="D5" s="12">
        <f>C5</f>
        <v>3.40758111313709E-5</v>
      </c>
      <c r="F5" t="s">
        <v>33</v>
      </c>
      <c r="I5" s="30"/>
      <c r="J5" s="1"/>
      <c r="K5" s="1"/>
      <c r="L5" s="30"/>
      <c r="N5" s="38">
        <v>-3.3755000000000002</v>
      </c>
      <c r="O5" s="12">
        <v>1.05621867422838E-5</v>
      </c>
      <c r="P5" s="12"/>
      <c r="T5" s="30"/>
      <c r="U5" s="1"/>
      <c r="W5" s="38">
        <v>-3.4379</v>
      </c>
      <c r="X5" s="12">
        <v>2.6395356185000901E-5</v>
      </c>
      <c r="Y5" s="12">
        <f t="shared" ref="Y5:Y43" si="0">X5</f>
        <v>2.6395356185000901E-5</v>
      </c>
      <c r="Z5" s="1"/>
      <c r="AA5" s="1"/>
      <c r="AB5" s="1"/>
    </row>
    <row r="6" spans="2:28" x14ac:dyDescent="0.2">
      <c r="B6" s="38">
        <v>-3.2921</v>
      </c>
      <c r="C6" s="12">
        <v>3.1836811947474802E-5</v>
      </c>
      <c r="D6" s="12">
        <f t="shared" ref="D6:D43" si="1">C6</f>
        <v>3.1836811947474802E-5</v>
      </c>
      <c r="I6" s="30"/>
      <c r="J6" s="1"/>
      <c r="K6" s="1"/>
      <c r="L6" s="30"/>
      <c r="N6" s="38">
        <v>-3.2433999999999998</v>
      </c>
      <c r="O6" s="12">
        <v>6.1192504851645402E-6</v>
      </c>
      <c r="P6" s="12"/>
      <c r="T6" s="30"/>
      <c r="U6" s="1"/>
      <c r="W6" s="38">
        <v>-3.2467999999999999</v>
      </c>
      <c r="X6" s="12">
        <v>1.87337694022274E-5</v>
      </c>
      <c r="Y6" s="12">
        <f t="shared" si="0"/>
        <v>1.87337694022274E-5</v>
      </c>
      <c r="Z6" s="1"/>
      <c r="AA6" s="1"/>
      <c r="AB6" s="1"/>
    </row>
    <row r="7" spans="2:28" x14ac:dyDescent="0.2">
      <c r="B7" s="38">
        <v>-3.1227</v>
      </c>
      <c r="C7" s="12">
        <v>5.3855550802447799E-5</v>
      </c>
      <c r="D7" s="12">
        <f t="shared" si="1"/>
        <v>5.3855550802447799E-5</v>
      </c>
      <c r="I7" s="30"/>
      <c r="J7" s="1"/>
      <c r="K7" s="1"/>
      <c r="L7" s="30"/>
      <c r="N7" s="38">
        <v>-3.0670999999999999</v>
      </c>
      <c r="O7" s="12">
        <v>3.6793979390442301E-6</v>
      </c>
      <c r="P7" s="12"/>
      <c r="T7" s="30"/>
      <c r="U7" s="1"/>
      <c r="W7" s="38">
        <v>-3.0259</v>
      </c>
      <c r="X7" s="12">
        <v>6.0768911770944703E-6</v>
      </c>
      <c r="Y7" s="12">
        <f t="shared" si="0"/>
        <v>6.0768911770944703E-6</v>
      </c>
      <c r="Z7" s="1"/>
      <c r="AA7" s="1"/>
      <c r="AB7" s="1"/>
    </row>
    <row r="8" spans="2:28" x14ac:dyDescent="0.2">
      <c r="B8" s="38">
        <v>-2.8963999999999999</v>
      </c>
      <c r="C8" s="12">
        <v>7.7787720877532393E-6</v>
      </c>
      <c r="D8" s="12">
        <f t="shared" si="1"/>
        <v>7.7787720877532393E-6</v>
      </c>
      <c r="I8" s="30"/>
      <c r="J8" s="1"/>
      <c r="K8" s="1"/>
      <c r="L8" s="30"/>
      <c r="N8" s="38">
        <v>-2.8839999999999999</v>
      </c>
      <c r="O8" s="12">
        <v>7.8564474911461897E-7</v>
      </c>
      <c r="P8" s="12"/>
      <c r="T8" s="30"/>
      <c r="U8" s="1"/>
      <c r="W8" s="38">
        <v>-2.8492999999999999</v>
      </c>
      <c r="X8" s="12">
        <v>1.4682760072101801E-6</v>
      </c>
      <c r="Y8" s="12">
        <f t="shared" si="0"/>
        <v>1.4682760072101801E-6</v>
      </c>
      <c r="Z8" s="1"/>
      <c r="AA8" s="1"/>
      <c r="AB8" s="1"/>
    </row>
    <row r="9" spans="2:28" x14ac:dyDescent="0.2">
      <c r="B9" s="38">
        <v>-2.7277999999999998</v>
      </c>
      <c r="C9" s="12">
        <v>4.5722224633182996E-6</v>
      </c>
      <c r="D9" s="12">
        <f t="shared" si="1"/>
        <v>4.5722224633182996E-6</v>
      </c>
      <c r="E9" s="12"/>
      <c r="I9" s="30"/>
      <c r="J9" s="1"/>
      <c r="K9" s="1"/>
      <c r="L9" s="30"/>
      <c r="N9" s="38">
        <v>-2.7086999999999999</v>
      </c>
      <c r="O9" s="12">
        <v>2.2628048905014799E-7</v>
      </c>
      <c r="P9" s="12"/>
      <c r="T9" s="30"/>
      <c r="U9" s="1"/>
      <c r="V9" s="49" t="s">
        <v>32</v>
      </c>
      <c r="W9" s="38">
        <v>-2.6379999999999999</v>
      </c>
      <c r="X9" s="12">
        <v>-2.2046582236491699E-6</v>
      </c>
      <c r="Y9" s="12">
        <v>3.17058597740194E-6</v>
      </c>
      <c r="Z9" s="1"/>
      <c r="AA9" s="1"/>
      <c r="AB9" s="1"/>
    </row>
    <row r="10" spans="2:28" x14ac:dyDescent="0.2">
      <c r="B10" s="38">
        <v>-2.5691000000000002</v>
      </c>
      <c r="C10" s="12">
        <v>6.6111976543463095E-7</v>
      </c>
      <c r="D10" s="12">
        <f t="shared" si="1"/>
        <v>6.6111976543463095E-7</v>
      </c>
      <c r="E10" s="12"/>
      <c r="I10" s="30"/>
      <c r="J10" s="1"/>
      <c r="K10" s="1"/>
      <c r="L10" s="30"/>
      <c r="N10" s="38">
        <v>-2.5152999999999999</v>
      </c>
      <c r="O10" s="12">
        <v>1.1881154398027301E-7</v>
      </c>
      <c r="P10" s="12"/>
      <c r="T10" s="30"/>
      <c r="U10" s="1"/>
      <c r="W10" s="38">
        <v>-2.4355000000000002</v>
      </c>
      <c r="X10" s="12">
        <v>3.8979364098760401E-7</v>
      </c>
      <c r="Y10" s="12">
        <f t="shared" si="0"/>
        <v>3.8979364098760401E-7</v>
      </c>
      <c r="Z10" s="1"/>
      <c r="AA10" s="1"/>
      <c r="AB10" s="1"/>
    </row>
    <row r="11" spans="2:28" x14ac:dyDescent="0.2">
      <c r="B11" s="38">
        <v>-2.3471000000000002</v>
      </c>
      <c r="C11" s="12">
        <v>8.53436987794049E-7</v>
      </c>
      <c r="D11" s="12">
        <f t="shared" si="1"/>
        <v>8.53436987794049E-7</v>
      </c>
      <c r="E11" s="12"/>
      <c r="I11" s="30"/>
      <c r="J11" s="1"/>
      <c r="K11" s="1"/>
      <c r="L11" s="30"/>
      <c r="N11" s="38">
        <v>-2.2898000000000001</v>
      </c>
      <c r="O11" s="12">
        <v>8.9302776110667194E-8</v>
      </c>
      <c r="P11" s="12"/>
      <c r="Q11" s="12"/>
      <c r="T11" s="30"/>
      <c r="U11" s="1"/>
      <c r="W11" s="38">
        <v>-2.2631000000000001</v>
      </c>
      <c r="X11" s="12">
        <v>1.65542945224907E-7</v>
      </c>
      <c r="Y11" s="12">
        <f t="shared" si="0"/>
        <v>1.65542945224907E-7</v>
      </c>
      <c r="Z11" s="1"/>
      <c r="AA11" s="1"/>
      <c r="AB11" s="1"/>
    </row>
    <row r="12" spans="2:28" x14ac:dyDescent="0.2">
      <c r="B12" s="38">
        <v>-2.2275999999999998</v>
      </c>
      <c r="C12" s="12">
        <v>1.1681604760921501E-6</v>
      </c>
      <c r="D12" s="12">
        <f t="shared" si="1"/>
        <v>1.1681604760921501E-6</v>
      </c>
      <c r="E12" s="12"/>
      <c r="I12" s="30"/>
      <c r="J12" s="1"/>
      <c r="K12" s="1"/>
      <c r="L12" s="30"/>
      <c r="N12" s="38">
        <v>-2.089</v>
      </c>
      <c r="O12" s="12">
        <v>1.2777673242208599E-7</v>
      </c>
      <c r="P12" s="12"/>
      <c r="Q12" s="12"/>
      <c r="T12" s="30"/>
      <c r="U12" s="1"/>
      <c r="W12" s="38">
        <v>-2.1025999999999998</v>
      </c>
      <c r="X12" s="12">
        <v>4.7218113383609098E-8</v>
      </c>
      <c r="Y12" s="12">
        <f t="shared" si="0"/>
        <v>4.7218113383609098E-8</v>
      </c>
      <c r="Z12" s="1"/>
      <c r="AA12" s="1"/>
      <c r="AB12" s="1"/>
    </row>
    <row r="13" spans="2:28" x14ac:dyDescent="0.2">
      <c r="B13" s="38">
        <v>-2.0421</v>
      </c>
      <c r="C13" s="12">
        <v>1.8787236184909401E-7</v>
      </c>
      <c r="D13" s="12">
        <f t="shared" si="1"/>
        <v>1.8787236184909401E-7</v>
      </c>
      <c r="E13" s="12"/>
      <c r="I13" s="30"/>
      <c r="J13" s="1"/>
      <c r="K13" s="1"/>
      <c r="L13" s="30"/>
      <c r="N13" s="38">
        <v>-1.8777999999999999</v>
      </c>
      <c r="O13" s="12">
        <v>1.55822398448565E-7</v>
      </c>
      <c r="P13" s="12"/>
      <c r="Q13" s="12"/>
      <c r="T13" s="30"/>
      <c r="U13" s="1"/>
      <c r="W13" s="38">
        <v>-1.8815</v>
      </c>
      <c r="X13" s="12">
        <v>1.4942625997655799E-7</v>
      </c>
      <c r="Y13" s="12">
        <f t="shared" si="0"/>
        <v>1.4942625997655799E-7</v>
      </c>
      <c r="Z13" s="1"/>
      <c r="AA13" s="1"/>
      <c r="AB13" s="1"/>
    </row>
    <row r="14" spans="2:28" x14ac:dyDescent="0.2">
      <c r="B14" s="38">
        <v>-1.8168</v>
      </c>
      <c r="C14" s="12">
        <v>3.6293453222972397E-7</v>
      </c>
      <c r="D14" s="12">
        <f t="shared" si="1"/>
        <v>3.6293453222972397E-7</v>
      </c>
      <c r="E14" s="12"/>
      <c r="I14" s="30"/>
      <c r="J14" s="1"/>
      <c r="K14" s="1"/>
      <c r="L14" s="30"/>
      <c r="N14" s="38">
        <v>-1.7208000000000001</v>
      </c>
      <c r="O14" s="12">
        <v>1.3370003397860901E-7</v>
      </c>
      <c r="P14" s="12"/>
      <c r="Q14" s="12"/>
      <c r="T14" s="30"/>
      <c r="U14" s="1"/>
      <c r="W14" s="38">
        <v>-1.6928000000000001</v>
      </c>
      <c r="X14" s="12">
        <v>4.67371918606771E-7</v>
      </c>
      <c r="Y14" s="12">
        <f t="shared" si="0"/>
        <v>4.67371918606771E-7</v>
      </c>
      <c r="Z14" s="1"/>
      <c r="AA14" s="1"/>
      <c r="AB14" s="1"/>
    </row>
    <row r="15" spans="2:28" x14ac:dyDescent="0.2">
      <c r="B15" s="38">
        <v>-1.6166</v>
      </c>
      <c r="C15" s="12">
        <v>3.41908715471199E-7</v>
      </c>
      <c r="D15" s="12">
        <f t="shared" si="1"/>
        <v>3.41908715471199E-7</v>
      </c>
      <c r="E15" s="12"/>
      <c r="I15" s="30"/>
      <c r="J15" s="1"/>
      <c r="K15" s="1"/>
      <c r="L15" s="30"/>
      <c r="N15" s="38">
        <v>-1.5487</v>
      </c>
      <c r="O15" s="12">
        <v>2.7224185703638898E-7</v>
      </c>
      <c r="P15" s="12"/>
      <c r="Q15" s="12"/>
      <c r="T15" s="30"/>
      <c r="U15" s="1"/>
      <c r="W15" s="38">
        <v>-1.4948999999999999</v>
      </c>
      <c r="X15" s="12">
        <v>1.0874619731491099E-7</v>
      </c>
      <c r="Y15" s="12">
        <f t="shared" si="0"/>
        <v>1.0874619731491099E-7</v>
      </c>
      <c r="Z15" s="1"/>
      <c r="AA15" s="1"/>
      <c r="AB15" s="1"/>
    </row>
    <row r="16" spans="2:28" x14ac:dyDescent="0.2">
      <c r="B16" s="38">
        <v>-1.4614</v>
      </c>
      <c r="C16" s="12">
        <v>2.3082635513657E-7</v>
      </c>
      <c r="D16" s="12">
        <f t="shared" si="1"/>
        <v>2.3082635513657E-7</v>
      </c>
      <c r="E16" s="12"/>
      <c r="I16" s="30"/>
      <c r="J16" s="1"/>
      <c r="K16" s="1"/>
      <c r="L16" s="30"/>
      <c r="N16" s="38">
        <v>-1.3474999999999999</v>
      </c>
      <c r="O16" s="12">
        <v>6.91614511777264E-8</v>
      </c>
      <c r="P16" s="12"/>
      <c r="Q16" s="12"/>
      <c r="T16" s="30"/>
      <c r="U16" s="1"/>
      <c r="W16" s="38">
        <v>-1.3173999999999999</v>
      </c>
      <c r="X16" s="12">
        <v>1.00075768068604E-7</v>
      </c>
      <c r="Y16" s="12">
        <f t="shared" si="0"/>
        <v>1.00075768068604E-7</v>
      </c>
      <c r="Z16" s="1"/>
      <c r="AA16" s="1"/>
      <c r="AB16" s="1"/>
    </row>
    <row r="17" spans="2:28" x14ac:dyDescent="0.2">
      <c r="B17" s="38">
        <v>-1.2321</v>
      </c>
      <c r="C17" s="12">
        <v>2.2077029642601901E-7</v>
      </c>
      <c r="D17" s="12">
        <f t="shared" si="1"/>
        <v>2.2077029642601901E-7</v>
      </c>
      <c r="E17" s="12"/>
      <c r="I17" s="30"/>
      <c r="J17" s="1"/>
      <c r="K17" s="1"/>
      <c r="L17" s="30"/>
      <c r="N17" s="38">
        <v>-1.1871</v>
      </c>
      <c r="O17" s="12">
        <v>1.29649691879636E-7</v>
      </c>
      <c r="P17" s="12"/>
      <c r="Q17" s="12"/>
      <c r="T17" s="30"/>
      <c r="U17" s="1"/>
      <c r="W17" s="38">
        <v>-1.1380999999999999</v>
      </c>
      <c r="X17" s="12">
        <v>1.1399400687562E-7</v>
      </c>
      <c r="Y17" s="12">
        <f t="shared" si="0"/>
        <v>1.1399400687562E-7</v>
      </c>
      <c r="Z17" s="1"/>
      <c r="AA17" s="1"/>
      <c r="AB17" s="1"/>
    </row>
    <row r="18" spans="2:28" x14ac:dyDescent="0.2">
      <c r="B18" s="38">
        <v>-1.0329999999999999</v>
      </c>
      <c r="C18" s="12">
        <v>1.9040377173371199E-7</v>
      </c>
      <c r="D18" s="12">
        <f t="shared" si="1"/>
        <v>1.9040377173371199E-7</v>
      </c>
      <c r="E18" s="12"/>
      <c r="I18" s="30"/>
      <c r="J18" s="1"/>
      <c r="K18" s="1"/>
      <c r="L18" s="30"/>
      <c r="N18" s="38">
        <v>-1.0443</v>
      </c>
      <c r="O18" s="12">
        <v>6.4563980362856304E-8</v>
      </c>
      <c r="P18" s="12"/>
      <c r="Q18" s="12"/>
      <c r="T18" s="30"/>
      <c r="U18" s="1"/>
      <c r="W18" s="38">
        <v>-0.91047999999999996</v>
      </c>
      <c r="X18" s="12">
        <v>1.83897147605773E-7</v>
      </c>
      <c r="Y18" s="12">
        <f t="shared" si="0"/>
        <v>1.83897147605773E-7</v>
      </c>
      <c r="Z18" s="1"/>
      <c r="AA18" s="1"/>
      <c r="AB18" s="1"/>
    </row>
    <row r="19" spans="2:28" x14ac:dyDescent="0.2">
      <c r="B19" s="38">
        <v>-0.87799000000000005</v>
      </c>
      <c r="C19" s="12">
        <v>1.88297360394943E-7</v>
      </c>
      <c r="D19" s="12">
        <f t="shared" si="1"/>
        <v>1.88297360394943E-7</v>
      </c>
      <c r="E19" s="12"/>
      <c r="I19" s="30"/>
      <c r="J19" s="1"/>
      <c r="K19" s="1"/>
      <c r="L19" s="30"/>
      <c r="N19" s="38">
        <v>-0.87414000000000003</v>
      </c>
      <c r="O19" s="12">
        <v>2.06149974231696E-7</v>
      </c>
      <c r="P19" s="12"/>
      <c r="Q19" s="12"/>
      <c r="T19" s="30"/>
      <c r="U19" s="1"/>
      <c r="W19" s="38">
        <v>-0.79920999999999998</v>
      </c>
      <c r="X19" s="12">
        <v>5.7651790842106397E-8</v>
      </c>
      <c r="Y19" s="12">
        <f t="shared" si="0"/>
        <v>5.7651790842106397E-8</v>
      </c>
      <c r="Z19" s="1"/>
      <c r="AA19" s="1"/>
      <c r="AB19" s="1"/>
    </row>
    <row r="20" spans="2:28" x14ac:dyDescent="0.2">
      <c r="B20" s="38">
        <v>-0.69398000000000004</v>
      </c>
      <c r="C20" s="12">
        <v>3.3481057621387899E-7</v>
      </c>
      <c r="D20" s="12">
        <f t="shared" si="1"/>
        <v>3.3481057621387899E-7</v>
      </c>
      <c r="E20" s="12"/>
      <c r="I20" s="30"/>
      <c r="J20" s="1"/>
      <c r="K20" s="1"/>
      <c r="L20" s="30"/>
      <c r="N20" s="38">
        <v>-0.66503999999999996</v>
      </c>
      <c r="O20" s="12">
        <v>5.7010681314779599E-8</v>
      </c>
      <c r="P20" s="12"/>
      <c r="Q20" s="12"/>
      <c r="T20" s="30"/>
      <c r="U20" s="1"/>
      <c r="W20" s="38">
        <v>-0.61373999999999995</v>
      </c>
      <c r="X20" s="12">
        <v>1.96711068365547E-7</v>
      </c>
      <c r="Y20" s="12">
        <f t="shared" si="0"/>
        <v>1.96711068365547E-7</v>
      </c>
      <c r="Z20" s="1"/>
      <c r="AA20" s="1"/>
      <c r="AB20" s="1"/>
    </row>
    <row r="21" spans="2:28" x14ac:dyDescent="0.2">
      <c r="B21" s="38">
        <v>-0.49117</v>
      </c>
      <c r="C21" s="12">
        <v>1.08353182222634E-6</v>
      </c>
      <c r="D21" s="12">
        <f t="shared" si="1"/>
        <v>1.08353182222634E-6</v>
      </c>
      <c r="E21" s="12"/>
      <c r="I21" s="30"/>
      <c r="J21" s="1"/>
      <c r="K21" s="1"/>
      <c r="L21" s="30"/>
      <c r="N21" s="38">
        <v>-0.45793</v>
      </c>
      <c r="O21" s="12">
        <v>5.4127087049930899E-7</v>
      </c>
      <c r="P21" s="12"/>
      <c r="Q21" s="12"/>
      <c r="T21" s="30"/>
      <c r="U21" s="1"/>
      <c r="W21" s="38">
        <v>-0.41548000000000002</v>
      </c>
      <c r="X21" s="12">
        <v>3.2720386180830998E-7</v>
      </c>
      <c r="Y21" s="12">
        <f t="shared" si="0"/>
        <v>3.2720386180830998E-7</v>
      </c>
      <c r="Z21" s="1"/>
      <c r="AA21" s="1"/>
      <c r="AB21" s="1"/>
    </row>
    <row r="22" spans="2:28" x14ac:dyDescent="0.2">
      <c r="B22" s="38">
        <v>-0.26484000000000002</v>
      </c>
      <c r="C22" s="12">
        <v>4.2134340769260701E-6</v>
      </c>
      <c r="D22" s="12">
        <f t="shared" si="1"/>
        <v>4.2134340769260701E-6</v>
      </c>
      <c r="E22" s="12"/>
      <c r="I22" s="30"/>
      <c r="J22" s="1"/>
      <c r="K22" s="1"/>
      <c r="L22" s="30"/>
      <c r="N22" s="38">
        <v>-0.25546000000000002</v>
      </c>
      <c r="O22" s="12">
        <v>2.8794109965315397E-7</v>
      </c>
      <c r="P22" s="12"/>
      <c r="Q22" s="12"/>
      <c r="T22" s="30"/>
      <c r="U22" s="1"/>
      <c r="W22" s="38">
        <v>-0.21517</v>
      </c>
      <c r="X22" s="12">
        <v>6.8078894631865404E-7</v>
      </c>
      <c r="Y22" s="12">
        <f t="shared" si="0"/>
        <v>6.8078894631865404E-7</v>
      </c>
      <c r="Z22" s="1"/>
      <c r="AA22" s="1"/>
      <c r="AB22" s="1"/>
    </row>
    <row r="23" spans="2:28" x14ac:dyDescent="0.2">
      <c r="B23" s="38">
        <v>-6.2840999999999994E-2</v>
      </c>
      <c r="C23" s="12">
        <v>3.0969275858787301E-6</v>
      </c>
      <c r="D23" s="12">
        <f t="shared" si="1"/>
        <v>3.0969275858787301E-6</v>
      </c>
      <c r="E23" s="12"/>
      <c r="I23" s="30"/>
      <c r="J23" s="1"/>
      <c r="K23" s="1"/>
      <c r="L23" s="30"/>
      <c r="N23" s="38">
        <v>-5.9332000000000003E-2</v>
      </c>
      <c r="O23" s="12">
        <v>3.9563256792927799E-7</v>
      </c>
      <c r="P23" s="12"/>
      <c r="Q23" s="12"/>
      <c r="T23" s="30"/>
      <c r="U23" s="1"/>
      <c r="W23" s="38">
        <v>-8.1447000000000006E-2</v>
      </c>
      <c r="X23" s="12">
        <v>6.7082692112293204E-7</v>
      </c>
      <c r="Y23" s="12">
        <f t="shared" si="0"/>
        <v>6.7082692112293204E-7</v>
      </c>
      <c r="Z23" s="1"/>
      <c r="AA23" s="1"/>
      <c r="AB23" s="1"/>
    </row>
    <row r="24" spans="2:28" x14ac:dyDescent="0.2">
      <c r="B24" s="38">
        <v>0.12773000000000001</v>
      </c>
      <c r="C24" s="12">
        <v>3.1882630160517098E-6</v>
      </c>
      <c r="D24" s="12">
        <f t="shared" si="1"/>
        <v>3.1882630160517098E-6</v>
      </c>
      <c r="E24" s="12"/>
      <c r="I24" s="30"/>
      <c r="J24" s="1"/>
      <c r="K24" s="1"/>
      <c r="L24" s="30"/>
      <c r="N24" s="38">
        <v>9.7534999999999997E-2</v>
      </c>
      <c r="O24" s="12">
        <v>5.6633761376697504E-7</v>
      </c>
      <c r="P24" s="12"/>
      <c r="Q24" s="12"/>
      <c r="T24" s="30"/>
      <c r="U24" s="1"/>
      <c r="W24" s="38">
        <v>0.12619</v>
      </c>
      <c r="X24" s="12">
        <v>4.7896537118097997E-7</v>
      </c>
      <c r="Y24" s="12">
        <f t="shared" si="0"/>
        <v>4.7896537118097997E-7</v>
      </c>
      <c r="Z24" s="1"/>
      <c r="AA24" s="1"/>
      <c r="AB24" s="1"/>
    </row>
    <row r="25" spans="2:28" x14ac:dyDescent="0.2">
      <c r="B25" s="38">
        <v>0.31890000000000002</v>
      </c>
      <c r="C25" s="12">
        <v>1.07772669709063E-6</v>
      </c>
      <c r="D25" s="12">
        <f t="shared" si="1"/>
        <v>1.07772669709063E-6</v>
      </c>
      <c r="E25" s="12"/>
      <c r="I25" s="30"/>
      <c r="J25" s="1"/>
      <c r="K25" s="1"/>
      <c r="L25" s="30"/>
      <c r="N25" s="38">
        <v>0.49580000000000002</v>
      </c>
      <c r="O25" s="12">
        <v>2.51064806929995E-7</v>
      </c>
      <c r="P25" s="12"/>
      <c r="Q25" s="12"/>
      <c r="T25" s="30"/>
      <c r="U25" s="1"/>
      <c r="W25" s="38">
        <v>0.34412999999999999</v>
      </c>
      <c r="X25" s="12">
        <v>5.7603142116912497E-7</v>
      </c>
      <c r="Y25" s="12">
        <f t="shared" si="0"/>
        <v>5.7603142116912497E-7</v>
      </c>
      <c r="Z25" s="1"/>
      <c r="AA25" s="1"/>
      <c r="AB25" s="1"/>
    </row>
    <row r="26" spans="2:28" x14ac:dyDescent="0.2">
      <c r="B26" s="38">
        <v>0.70579000000000003</v>
      </c>
      <c r="C26" s="12">
        <v>1.4940057984558899E-6</v>
      </c>
      <c r="D26" s="12">
        <f t="shared" si="1"/>
        <v>1.4940057984558899E-6</v>
      </c>
      <c r="E26" s="12"/>
      <c r="I26" s="30"/>
      <c r="J26" s="1"/>
      <c r="K26" s="1"/>
      <c r="L26" s="30"/>
      <c r="N26" s="38">
        <v>0.71567000000000003</v>
      </c>
      <c r="O26" s="12">
        <v>1.16914002475258E-7</v>
      </c>
      <c r="P26" s="12"/>
      <c r="Q26" s="12"/>
      <c r="T26" s="30"/>
      <c r="U26" s="1"/>
      <c r="W26" s="38">
        <v>0.58926999999999996</v>
      </c>
      <c r="X26" s="12">
        <v>3.3161848071292301E-7</v>
      </c>
      <c r="Y26" s="12">
        <f t="shared" si="0"/>
        <v>3.3161848071292301E-7</v>
      </c>
      <c r="Z26" s="1"/>
      <c r="AA26" s="1"/>
      <c r="AB26" s="1"/>
    </row>
    <row r="27" spans="2:28" x14ac:dyDescent="0.2">
      <c r="B27" s="38">
        <v>0.90281</v>
      </c>
      <c r="C27" s="12">
        <v>9.9931475263265502E-8</v>
      </c>
      <c r="D27" s="12">
        <f t="shared" si="1"/>
        <v>9.9931475263265502E-8</v>
      </c>
      <c r="E27" s="12"/>
      <c r="I27" s="30"/>
      <c r="J27" s="1"/>
      <c r="K27" s="1"/>
      <c r="L27" s="30"/>
      <c r="N27" s="38">
        <v>0.88692000000000004</v>
      </c>
      <c r="O27" s="12">
        <v>1.06699873902523E-7</v>
      </c>
      <c r="P27" s="12"/>
      <c r="Q27" s="12"/>
      <c r="T27" s="30"/>
      <c r="U27" s="1"/>
      <c r="W27" s="38">
        <v>0.79912000000000005</v>
      </c>
      <c r="X27" s="12">
        <v>1.9222846158479901E-7</v>
      </c>
      <c r="Y27" s="12">
        <f t="shared" si="0"/>
        <v>1.9222846158479901E-7</v>
      </c>
      <c r="Z27" s="1"/>
      <c r="AA27" s="1"/>
      <c r="AB27" s="1"/>
    </row>
    <row r="28" spans="2:28" x14ac:dyDescent="0.2">
      <c r="B28" s="38">
        <v>1.0892999999999999</v>
      </c>
      <c r="C28" s="12">
        <v>4.2669108850343E-7</v>
      </c>
      <c r="D28" s="12">
        <f t="shared" si="1"/>
        <v>4.2669108850343E-7</v>
      </c>
      <c r="E28" s="12"/>
      <c r="I28" s="30"/>
      <c r="J28" s="1"/>
      <c r="K28" s="1"/>
      <c r="L28" s="30"/>
      <c r="N28" s="38">
        <v>1.1464000000000001</v>
      </c>
      <c r="O28" s="12">
        <v>1.4656992001089501E-7</v>
      </c>
      <c r="P28" s="12"/>
      <c r="Q28" s="12"/>
      <c r="T28" s="30"/>
      <c r="U28" s="1"/>
      <c r="W28" s="38">
        <v>1.0075000000000001</v>
      </c>
      <c r="X28" s="12">
        <v>7.8183583587310494E-8</v>
      </c>
      <c r="Y28" s="12">
        <f t="shared" si="0"/>
        <v>7.8183583587310494E-8</v>
      </c>
      <c r="Z28" s="1"/>
      <c r="AA28" s="1"/>
      <c r="AB28" s="1"/>
    </row>
    <row r="29" spans="2:28" x14ac:dyDescent="0.2">
      <c r="B29" s="38">
        <v>1.3165</v>
      </c>
      <c r="C29" s="12">
        <v>2.7365935868551798E-7</v>
      </c>
      <c r="D29" s="12">
        <f t="shared" si="1"/>
        <v>2.7365935868551798E-7</v>
      </c>
      <c r="E29" s="12"/>
      <c r="I29" s="30"/>
      <c r="J29" s="1"/>
      <c r="K29" s="1"/>
      <c r="L29" s="30"/>
      <c r="N29" s="38">
        <v>1.3144</v>
      </c>
      <c r="O29" s="12">
        <v>1.1399346661412E-7</v>
      </c>
      <c r="P29" s="12"/>
      <c r="Q29" s="12"/>
      <c r="T29" s="30"/>
      <c r="U29" s="1"/>
      <c r="W29" s="38">
        <v>1.2634000000000001</v>
      </c>
      <c r="X29" s="12">
        <v>1.5274904336572801E-7</v>
      </c>
      <c r="Y29" s="12">
        <f t="shared" si="0"/>
        <v>1.5274904336572801E-7</v>
      </c>
      <c r="Z29" s="1"/>
      <c r="AA29" s="1"/>
      <c r="AB29" s="1"/>
    </row>
    <row r="30" spans="2:28" x14ac:dyDescent="0.2">
      <c r="B30" s="38">
        <v>1.5217000000000001</v>
      </c>
      <c r="C30" s="12">
        <v>3.0921728028536597E-7</v>
      </c>
      <c r="D30" s="12">
        <f t="shared" si="1"/>
        <v>3.0921728028536597E-7</v>
      </c>
      <c r="E30" s="12"/>
      <c r="I30" s="30"/>
      <c r="J30" s="1"/>
      <c r="K30" s="1"/>
      <c r="L30" s="30"/>
      <c r="N30" s="38">
        <v>1.4955000000000001</v>
      </c>
      <c r="O30" s="12">
        <v>2.5518215958349202E-7</v>
      </c>
      <c r="P30" s="12"/>
      <c r="Q30" s="12"/>
      <c r="T30" s="30"/>
      <c r="U30" s="1"/>
      <c r="W30" s="38">
        <v>1.4255</v>
      </c>
      <c r="X30" s="12">
        <v>1.17540074985306E-7</v>
      </c>
      <c r="Y30" s="12">
        <f t="shared" si="0"/>
        <v>1.17540074985306E-7</v>
      </c>
      <c r="Z30" s="1"/>
      <c r="AA30" s="1"/>
      <c r="AB30" s="1"/>
    </row>
    <row r="31" spans="2:28" x14ac:dyDescent="0.2">
      <c r="B31" s="38">
        <v>1.6948000000000001</v>
      </c>
      <c r="C31" s="12">
        <v>2.6335536982398802E-7</v>
      </c>
      <c r="D31" s="12">
        <f t="shared" si="1"/>
        <v>2.6335536982398802E-7</v>
      </c>
      <c r="E31" s="12"/>
      <c r="I31" s="30"/>
      <c r="J31" s="1"/>
      <c r="K31" s="1"/>
      <c r="L31" s="30"/>
      <c r="N31" s="38">
        <v>1.619</v>
      </c>
      <c r="O31" s="12">
        <v>4.2675109150377398E-7</v>
      </c>
      <c r="P31" s="12"/>
      <c r="Q31" s="12"/>
      <c r="T31" s="30"/>
      <c r="U31" s="1"/>
      <c r="W31" s="38">
        <v>1.6357999999999999</v>
      </c>
      <c r="X31" s="12">
        <v>7.9075078370560599E-8</v>
      </c>
      <c r="Y31" s="12">
        <f t="shared" si="0"/>
        <v>7.9075078370560599E-8</v>
      </c>
      <c r="Z31" s="1"/>
      <c r="AA31" s="1"/>
      <c r="AB31" s="1"/>
    </row>
    <row r="32" spans="2:28" x14ac:dyDescent="0.2">
      <c r="B32" s="38">
        <v>1.8841000000000001</v>
      </c>
      <c r="C32" s="12">
        <v>3.4303188311313303E-7</v>
      </c>
      <c r="D32" s="12">
        <f t="shared" si="1"/>
        <v>3.4303188311313303E-7</v>
      </c>
      <c r="E32" s="12"/>
      <c r="I32" s="30"/>
      <c r="J32" s="1"/>
      <c r="K32" s="1"/>
      <c r="L32" s="30"/>
      <c r="N32" s="38">
        <v>1.7941</v>
      </c>
      <c r="O32" s="12">
        <v>9.7797673216250997E-8</v>
      </c>
      <c r="P32" s="12"/>
      <c r="Q32" s="12"/>
      <c r="T32" s="30"/>
      <c r="U32" s="1"/>
      <c r="W32" s="38">
        <v>1.8287</v>
      </c>
      <c r="X32" s="12">
        <v>2.6005950293438699E-7</v>
      </c>
      <c r="Y32" s="12">
        <f t="shared" si="0"/>
        <v>2.6005950293438699E-7</v>
      </c>
      <c r="Z32" s="1"/>
      <c r="AA32" s="1"/>
      <c r="AB32" s="1"/>
    </row>
    <row r="33" spans="1:36" x14ac:dyDescent="0.2">
      <c r="B33" s="38">
        <v>2.0545</v>
      </c>
      <c r="C33" s="12">
        <v>1.6392658485583E-7</v>
      </c>
      <c r="D33" s="12">
        <f t="shared" si="1"/>
        <v>1.6392658485583E-7</v>
      </c>
      <c r="E33" s="12"/>
      <c r="I33" s="30"/>
      <c r="J33" s="1"/>
      <c r="K33" s="1"/>
      <c r="L33" s="30"/>
      <c r="N33" s="38">
        <v>2.0021</v>
      </c>
      <c r="O33" s="12">
        <v>1.0579312259896499E-7</v>
      </c>
      <c r="P33" s="12"/>
      <c r="Q33" s="12"/>
      <c r="T33" s="30"/>
      <c r="U33" s="1"/>
      <c r="W33" s="38">
        <v>2.0091000000000001</v>
      </c>
      <c r="X33" s="12">
        <v>2.7013660522221399E-7</v>
      </c>
      <c r="Y33" s="12">
        <f t="shared" si="0"/>
        <v>2.7013660522221399E-7</v>
      </c>
      <c r="Z33" s="1"/>
      <c r="AA33" s="1"/>
      <c r="AB33" s="1"/>
    </row>
    <row r="34" spans="1:36" x14ac:dyDescent="0.2">
      <c r="B34" s="38">
        <v>2.2132999999999998</v>
      </c>
      <c r="C34" s="12">
        <v>6.8368772188703402E-7</v>
      </c>
      <c r="D34" s="12">
        <f t="shared" si="1"/>
        <v>6.8368772188703402E-7</v>
      </c>
      <c r="E34" s="12"/>
      <c r="I34" s="30"/>
      <c r="J34" s="1"/>
      <c r="K34" s="1"/>
      <c r="L34" s="30"/>
      <c r="N34" s="38">
        <v>2.1943999999999999</v>
      </c>
      <c r="O34" s="12">
        <v>1.50656456508706E-7</v>
      </c>
      <c r="P34" s="12"/>
      <c r="Q34" s="12"/>
      <c r="T34" s="30"/>
      <c r="U34" s="1"/>
      <c r="W34" s="38">
        <v>2.2185999999999999</v>
      </c>
      <c r="X34" s="12">
        <v>1.3789809483602899E-7</v>
      </c>
      <c r="Y34" s="12">
        <f t="shared" si="0"/>
        <v>1.3789809483602899E-7</v>
      </c>
      <c r="Z34" s="1"/>
      <c r="AA34" s="1"/>
      <c r="AB34" s="1"/>
    </row>
    <row r="35" spans="1:36" x14ac:dyDescent="0.2">
      <c r="B35" s="38">
        <v>2.4051</v>
      </c>
      <c r="C35" s="12">
        <v>1.3738747977792001E-6</v>
      </c>
      <c r="D35" s="12">
        <f t="shared" si="1"/>
        <v>1.3738747977792001E-6</v>
      </c>
      <c r="E35" s="12"/>
      <c r="I35" s="30"/>
      <c r="J35" s="1"/>
      <c r="K35" s="1"/>
      <c r="L35" s="30"/>
      <c r="N35" s="38">
        <v>2.4365999999999999</v>
      </c>
      <c r="O35" s="12">
        <v>1.07247461894749E-7</v>
      </c>
      <c r="P35" s="12"/>
      <c r="Q35" s="12"/>
      <c r="T35" s="30"/>
      <c r="U35" s="1"/>
      <c r="W35" s="38">
        <v>2.4592999999999998</v>
      </c>
      <c r="X35" s="12">
        <v>2.0979000973753399E-7</v>
      </c>
      <c r="Y35" s="12">
        <f t="shared" si="0"/>
        <v>2.0979000973753399E-7</v>
      </c>
      <c r="Z35" s="1"/>
      <c r="AA35" s="1"/>
      <c r="AB35" s="1"/>
    </row>
    <row r="36" spans="1:36" x14ac:dyDescent="0.2">
      <c r="B36" s="38">
        <v>2.6528999999999998</v>
      </c>
      <c r="C36" s="12">
        <v>4.7973606857955999E-6</v>
      </c>
      <c r="D36" s="12">
        <f t="shared" si="1"/>
        <v>4.7973606857955999E-6</v>
      </c>
      <c r="E36" s="12"/>
      <c r="I36" s="30"/>
      <c r="J36" s="1"/>
      <c r="K36" s="1"/>
      <c r="L36" s="30"/>
      <c r="N36" s="38">
        <v>2.6244000000000001</v>
      </c>
      <c r="O36" s="12">
        <v>1.3295499262303999E-7</v>
      </c>
      <c r="P36" s="12"/>
      <c r="T36" s="30"/>
      <c r="U36" s="1"/>
      <c r="W36" s="38">
        <v>2.6861000000000002</v>
      </c>
      <c r="X36" s="12">
        <v>2.2968289646750199E-7</v>
      </c>
      <c r="Y36" s="12">
        <f t="shared" si="0"/>
        <v>2.2968289646750199E-7</v>
      </c>
      <c r="Z36" s="1"/>
      <c r="AA36" s="1"/>
      <c r="AB36" s="1"/>
    </row>
    <row r="37" spans="1:36" x14ac:dyDescent="0.2">
      <c r="B37" s="38">
        <v>2.8569</v>
      </c>
      <c r="C37" s="12">
        <v>8.5667299509800392E-6</v>
      </c>
      <c r="D37" s="12">
        <f t="shared" si="1"/>
        <v>8.5667299509800392E-6</v>
      </c>
      <c r="E37" s="12"/>
      <c r="I37" s="30"/>
      <c r="J37" s="1"/>
      <c r="K37" s="1"/>
      <c r="L37" s="30"/>
      <c r="N37" s="38">
        <v>2.8170000000000002</v>
      </c>
      <c r="O37" s="12">
        <v>8.8615352800693505E-7</v>
      </c>
      <c r="P37" s="12"/>
      <c r="T37" s="30"/>
      <c r="U37" s="1"/>
      <c r="W37" s="38">
        <v>2.8302</v>
      </c>
      <c r="X37" s="12">
        <v>1.53848095012074E-6</v>
      </c>
      <c r="Y37" s="12">
        <f t="shared" si="0"/>
        <v>1.53848095012074E-6</v>
      </c>
      <c r="Z37" s="1"/>
      <c r="AA37" s="1"/>
      <c r="AB37" s="1"/>
    </row>
    <row r="38" spans="1:36" x14ac:dyDescent="0.2">
      <c r="B38" s="38">
        <v>3.0607000000000002</v>
      </c>
      <c r="C38" s="12">
        <v>4.2977709312334602E-5</v>
      </c>
      <c r="D38" s="12">
        <f t="shared" si="1"/>
        <v>4.2977709312334602E-5</v>
      </c>
      <c r="E38" s="12"/>
      <c r="I38" s="30"/>
      <c r="J38" s="1"/>
      <c r="K38" s="1"/>
      <c r="L38" s="30"/>
      <c r="N38" s="38">
        <v>3.0287999999999999</v>
      </c>
      <c r="O38" s="12">
        <v>2.59878498366387E-6</v>
      </c>
      <c r="P38" s="12"/>
      <c r="T38" s="30"/>
      <c r="U38" s="1"/>
      <c r="W38" s="38">
        <v>3.0461999999999998</v>
      </c>
      <c r="X38" s="12">
        <v>4.1190224903870101E-6</v>
      </c>
      <c r="Y38" s="12">
        <f t="shared" si="0"/>
        <v>4.1190224903870101E-6</v>
      </c>
      <c r="Z38" s="1"/>
      <c r="AA38" s="1"/>
      <c r="AB38" s="1"/>
    </row>
    <row r="39" spans="1:36" x14ac:dyDescent="0.2">
      <c r="B39" s="38">
        <v>3.2738999999999998</v>
      </c>
      <c r="C39" s="12">
        <v>3.7762292403184899E-5</v>
      </c>
      <c r="D39" s="12">
        <f t="shared" si="1"/>
        <v>3.7762292403184899E-5</v>
      </c>
      <c r="E39" s="12"/>
      <c r="I39" s="30"/>
      <c r="J39" s="1"/>
      <c r="K39" s="1"/>
      <c r="L39" s="30"/>
      <c r="N39" s="38">
        <v>3.1783000000000001</v>
      </c>
      <c r="O39" s="12">
        <v>5.8798840739140404E-6</v>
      </c>
      <c r="P39" s="12"/>
      <c r="T39" s="30"/>
      <c r="U39" s="1"/>
      <c r="W39" s="38">
        <v>3.2528999999999999</v>
      </c>
      <c r="X39" s="12">
        <v>9.9045564658928506E-6</v>
      </c>
      <c r="Y39" s="12">
        <f t="shared" si="0"/>
        <v>9.9045564658928506E-6</v>
      </c>
      <c r="Z39" s="1"/>
      <c r="AA39" s="1"/>
      <c r="AB39" s="1"/>
    </row>
    <row r="40" spans="1:36" x14ac:dyDescent="0.2">
      <c r="B40" s="38">
        <v>3.4575</v>
      </c>
      <c r="C40" s="12">
        <v>5.9451757226889398E-5</v>
      </c>
      <c r="D40" s="12">
        <f t="shared" si="1"/>
        <v>5.9451757226889398E-5</v>
      </c>
      <c r="E40" s="12"/>
      <c r="I40" s="30"/>
      <c r="J40" s="1"/>
      <c r="K40" s="1"/>
      <c r="L40" s="30"/>
      <c r="N40" s="38">
        <v>3.3159000000000001</v>
      </c>
      <c r="O40" s="12">
        <v>7.9928343473422302E-6</v>
      </c>
      <c r="P40" s="12"/>
      <c r="T40" s="30"/>
      <c r="U40" s="1"/>
      <c r="W40" s="38">
        <v>3.4756</v>
      </c>
      <c r="X40" s="12">
        <v>1.9971158148184699E-5</v>
      </c>
      <c r="Y40" s="12">
        <f t="shared" si="0"/>
        <v>1.9971158148184699E-5</v>
      </c>
      <c r="Z40" s="1"/>
      <c r="AA40" s="1"/>
      <c r="AB40" s="1"/>
    </row>
    <row r="41" spans="1:36" x14ac:dyDescent="0.2">
      <c r="A41" s="49" t="s">
        <v>32</v>
      </c>
      <c r="B41" s="38">
        <v>3.6606999999999998</v>
      </c>
      <c r="C41" s="13">
        <v>1.09453397898527E-4</v>
      </c>
      <c r="D41" s="12">
        <f t="shared" si="1"/>
        <v>1.09453397898527E-4</v>
      </c>
      <c r="E41" s="12"/>
      <c r="I41" s="30"/>
      <c r="J41" s="1"/>
      <c r="K41" s="1"/>
      <c r="L41" s="30"/>
      <c r="N41" s="38">
        <v>3.4771000000000001</v>
      </c>
      <c r="O41" s="12">
        <v>1.33318112827008E-5</v>
      </c>
      <c r="P41" s="12"/>
      <c r="T41" s="30"/>
      <c r="U41" s="1"/>
      <c r="W41" s="38">
        <v>3.6640000000000001</v>
      </c>
      <c r="X41" s="12">
        <v>6.1416399619061701E-5</v>
      </c>
      <c r="Y41" s="12">
        <f t="shared" si="0"/>
        <v>6.1416399619061701E-5</v>
      </c>
      <c r="Z41" s="1"/>
      <c r="AA41" s="1"/>
      <c r="AB41" s="1"/>
    </row>
    <row r="42" spans="1:36" x14ac:dyDescent="0.2">
      <c r="A42" s="49" t="s">
        <v>32</v>
      </c>
      <c r="B42" s="38">
        <v>3.8910999999999998</v>
      </c>
      <c r="C42" s="13">
        <v>3.7840335924271601E-4</v>
      </c>
      <c r="D42" s="12">
        <f t="shared" si="1"/>
        <v>3.7840335924271601E-4</v>
      </c>
      <c r="E42" s="12"/>
      <c r="I42" s="30"/>
      <c r="J42" s="1"/>
      <c r="K42" s="1"/>
      <c r="L42" s="30"/>
      <c r="N42" s="38">
        <v>3.6697000000000002</v>
      </c>
      <c r="O42" s="12">
        <v>1.8303554595662401E-5</v>
      </c>
      <c r="P42" s="12"/>
      <c r="T42" s="30"/>
      <c r="U42" s="1"/>
      <c r="W42" s="38">
        <v>3.8812000000000002</v>
      </c>
      <c r="X42" s="12">
        <v>2.5355971957646898E-5</v>
      </c>
      <c r="Y42" s="12">
        <f t="shared" si="0"/>
        <v>2.5355971957646898E-5</v>
      </c>
      <c r="Z42" s="1"/>
      <c r="AA42" s="1"/>
      <c r="AB42" s="1"/>
    </row>
    <row r="43" spans="1:36" x14ac:dyDescent="0.2">
      <c r="A43" s="49" t="s">
        <v>32</v>
      </c>
      <c r="B43" s="38">
        <v>4.0975000000000001</v>
      </c>
      <c r="C43" s="13">
        <v>5.5193099952801901E-4</v>
      </c>
      <c r="D43" s="12">
        <f t="shared" si="1"/>
        <v>5.5193099952801901E-4</v>
      </c>
      <c r="E43" s="12"/>
      <c r="I43" s="30"/>
      <c r="J43" s="1"/>
      <c r="K43" s="1"/>
      <c r="L43" s="30"/>
      <c r="W43" s="38">
        <v>4.0567000000000002</v>
      </c>
      <c r="X43" s="12">
        <v>2.59797414858114E-5</v>
      </c>
      <c r="Y43" s="12">
        <f t="shared" si="0"/>
        <v>2.59797414858114E-5</v>
      </c>
      <c r="Z43" s="1"/>
      <c r="AA43" s="1"/>
      <c r="AB43" s="1"/>
    </row>
    <row r="46" spans="1:36" x14ac:dyDescent="0.2">
      <c r="A46" s="41" t="s">
        <v>22</v>
      </c>
    </row>
    <row r="47" spans="1:36" x14ac:dyDescent="0.2">
      <c r="A47" s="2">
        <f>0.0000001</f>
        <v>9.9999999999999995E-8</v>
      </c>
      <c r="O47" s="2">
        <f>0.0000001</f>
        <v>9.9999999999999995E-8</v>
      </c>
    </row>
    <row r="48" spans="1:36" x14ac:dyDescent="0.2">
      <c r="A48" s="3" t="s">
        <v>0</v>
      </c>
      <c r="O48" s="3" t="s">
        <v>0</v>
      </c>
      <c r="Z48" s="20">
        <v>9.9999999999999995E-8</v>
      </c>
      <c r="AA48" s="21"/>
      <c r="AB48" s="21"/>
      <c r="AC48" s="21"/>
      <c r="AD48" s="21"/>
      <c r="AE48" s="21"/>
      <c r="AF48" s="21"/>
      <c r="AG48" s="21"/>
      <c r="AH48" s="21"/>
      <c r="AI48" s="21"/>
      <c r="AJ48" s="21"/>
    </row>
    <row r="49" spans="1:36" x14ac:dyDescent="0.2">
      <c r="A49" t="s">
        <v>11</v>
      </c>
      <c r="C49" s="17" t="s">
        <v>13</v>
      </c>
      <c r="I49" s="19" t="s">
        <v>17</v>
      </c>
      <c r="O49" t="s">
        <v>11</v>
      </c>
      <c r="Q49" s="17" t="s">
        <v>13</v>
      </c>
      <c r="Z49" s="22" t="s">
        <v>0</v>
      </c>
      <c r="AA49" s="21"/>
      <c r="AB49" s="21"/>
      <c r="AC49" s="21"/>
      <c r="AD49" s="21"/>
      <c r="AE49" s="21"/>
      <c r="AF49" s="21"/>
      <c r="AG49" s="21"/>
      <c r="AH49" s="21"/>
      <c r="AI49" s="21"/>
      <c r="AJ49" s="21"/>
    </row>
    <row r="50" spans="1:36" x14ac:dyDescent="0.2">
      <c r="A50" s="9" t="s">
        <v>7</v>
      </c>
      <c r="B50" s="4" t="s">
        <v>8</v>
      </c>
      <c r="C50" s="4" t="s">
        <v>2</v>
      </c>
      <c r="D50" s="4" t="s">
        <v>1</v>
      </c>
      <c r="E50" s="4" t="s">
        <v>5</v>
      </c>
      <c r="F50" s="4" t="s">
        <v>6</v>
      </c>
      <c r="G50" s="5" t="s">
        <v>12</v>
      </c>
      <c r="I50" s="4" t="s">
        <v>2</v>
      </c>
      <c r="J50" s="4" t="s">
        <v>5</v>
      </c>
      <c r="K50" s="4" t="s">
        <v>6</v>
      </c>
      <c r="O50" s="9" t="s">
        <v>10</v>
      </c>
      <c r="P50" s="4" t="s">
        <v>18</v>
      </c>
      <c r="Q50" s="4" t="s">
        <v>2</v>
      </c>
      <c r="R50" s="4" t="s">
        <v>1</v>
      </c>
      <c r="S50" s="4" t="s">
        <v>5</v>
      </c>
      <c r="T50" s="4" t="s">
        <v>6</v>
      </c>
      <c r="U50" s="5" t="s">
        <v>12</v>
      </c>
      <c r="Z50" s="21" t="s">
        <v>11</v>
      </c>
      <c r="AA50" s="21"/>
      <c r="AB50" s="19" t="s">
        <v>13</v>
      </c>
      <c r="AC50" s="21"/>
      <c r="AD50" s="21"/>
      <c r="AE50" s="21"/>
      <c r="AF50" s="21"/>
      <c r="AG50" s="21"/>
      <c r="AH50" s="17" t="s">
        <v>31</v>
      </c>
      <c r="AI50" s="21"/>
      <c r="AJ50" s="21"/>
    </row>
    <row r="51" spans="1:36" x14ac:dyDescent="0.2">
      <c r="B51" s="38">
        <v>-3.4807000000000001</v>
      </c>
      <c r="C51" s="14">
        <f>C5</f>
        <v>3.40758111313709E-5</v>
      </c>
      <c r="D51" s="39">
        <v>0</v>
      </c>
      <c r="E51" s="15">
        <f>EXP((D52-D$51)/(0.008314*310))/C51</f>
        <v>29218.619770570229</v>
      </c>
      <c r="F51" s="15">
        <f>E51*G51</f>
        <v>5.5135535507066103E-4</v>
      </c>
      <c r="G51" s="16">
        <f>(B52-B51)*A$47</f>
        <v>1.8870000000000029E-8</v>
      </c>
      <c r="I51" s="1">
        <f>D5</f>
        <v>3.40758111313709E-5</v>
      </c>
      <c r="J51" s="1">
        <f>EXP((D52-D$51)/(0.008314*310))/I51</f>
        <v>29218.619770570229</v>
      </c>
      <c r="K51" s="1">
        <f>J51*G51</f>
        <v>5.5135535507066103E-4</v>
      </c>
      <c r="P51" s="38">
        <v>-3.6023999999999998</v>
      </c>
      <c r="Q51" s="14">
        <f>O4</f>
        <v>1.5794875114177898E-5</v>
      </c>
      <c r="R51" s="37">
        <v>0</v>
      </c>
      <c r="S51" s="15">
        <f>EXP((R51-R$59)/(0.008314*310))/Q51</f>
        <v>165881.24202890217</v>
      </c>
      <c r="T51" s="15">
        <f>S51*U51</f>
        <v>3.7638453816357842E-3</v>
      </c>
      <c r="U51" s="16">
        <f>(P52-P51)*O$47</f>
        <v>2.2689999999999964E-8</v>
      </c>
      <c r="Z51" s="23" t="s">
        <v>9</v>
      </c>
      <c r="AA51" s="24" t="s">
        <v>18</v>
      </c>
      <c r="AB51" s="24" t="s">
        <v>2</v>
      </c>
      <c r="AC51" s="24" t="s">
        <v>1</v>
      </c>
      <c r="AD51" s="24" t="s">
        <v>5</v>
      </c>
      <c r="AE51" s="24" t="s">
        <v>6</v>
      </c>
      <c r="AF51" s="25" t="s">
        <v>12</v>
      </c>
      <c r="AG51" s="21"/>
      <c r="AH51" s="24" t="s">
        <v>2</v>
      </c>
      <c r="AI51" s="24" t="s">
        <v>5</v>
      </c>
      <c r="AJ51" s="24" t="s">
        <v>6</v>
      </c>
    </row>
    <row r="52" spans="1:36" x14ac:dyDescent="0.2">
      <c r="B52" s="38">
        <v>-3.2919999999999998</v>
      </c>
      <c r="C52" s="14">
        <f>C6</f>
        <v>3.1836811947474802E-5</v>
      </c>
      <c r="D52" s="39">
        <v>-1.1240625000000001E-2</v>
      </c>
      <c r="E52" s="15">
        <f t="shared" ref="E52:E89" si="2">EXP((D53-D$51)/(0.008314*310))/C52</f>
        <v>32181.912015228136</v>
      </c>
      <c r="F52" s="15">
        <f>E52*G52</f>
        <v>5.4451795129766012E-4</v>
      </c>
      <c r="G52" s="16">
        <f t="shared" ref="G52:G88" si="3">(B53-B52)*A$47</f>
        <v>1.6920000000000002E-8</v>
      </c>
      <c r="I52" s="1">
        <f t="shared" ref="I52:I89" si="4">D6</f>
        <v>3.1836811947474802E-5</v>
      </c>
      <c r="J52" s="1">
        <f t="shared" ref="J52:J89" si="5">EXP((D53-D$51)/(0.008314*310))/I52</f>
        <v>32181.912015228136</v>
      </c>
      <c r="K52" s="1">
        <f t="shared" ref="K52:K89" si="6">J52*G52</f>
        <v>5.4451795129766012E-4</v>
      </c>
      <c r="P52" s="38">
        <v>-3.3755000000000002</v>
      </c>
      <c r="Q52" s="14">
        <f t="shared" ref="Q52:Q88" si="7">O5</f>
        <v>1.05621867422838E-5</v>
      </c>
      <c r="R52" s="37">
        <v>-5.1283000000000002E-2</v>
      </c>
      <c r="S52" s="15">
        <f t="shared" ref="S52:S89" si="8">EXP((R52-R$59)/(0.008314*310))/Q52</f>
        <v>243174.59159886686</v>
      </c>
      <c r="T52" s="15">
        <f t="shared" ref="T52:T88" si="9">S52*U52</f>
        <v>3.2123363550210391E-3</v>
      </c>
      <c r="U52" s="16">
        <f>(P53-P52)*O$47</f>
        <v>1.3210000000000032E-8</v>
      </c>
      <c r="Z52" s="21"/>
      <c r="AA52" s="38">
        <v>-3.6450999999999998</v>
      </c>
      <c r="AB52" s="12">
        <f>X4</f>
        <v>1.7908881534165501E-5</v>
      </c>
      <c r="AC52" s="13">
        <v>0</v>
      </c>
      <c r="AD52" s="26">
        <f>EXP((AC52-AC$61)/(0.008314*310))/AB52</f>
        <v>2167369.5803737715</v>
      </c>
      <c r="AE52" s="26">
        <f>AF52*AD52</f>
        <v>4.4886224009540725E-2</v>
      </c>
      <c r="AF52" s="27">
        <f>(AA53-AA52)*O$47</f>
        <v>2.0709999999999962E-8</v>
      </c>
      <c r="AG52" s="27"/>
      <c r="AH52" s="26">
        <f>Y4</f>
        <v>1.7908881534165501E-5</v>
      </c>
      <c r="AI52" s="26">
        <f>EXP((AC52-AC$61)/(0.008314*310))/AH52</f>
        <v>2167369.5803737715</v>
      </c>
      <c r="AJ52" s="26">
        <f>AF52*AI52</f>
        <v>4.4886224009540725E-2</v>
      </c>
    </row>
    <row r="53" spans="1:36" x14ac:dyDescent="0.2">
      <c r="B53" s="38">
        <v>-3.1227999999999998</v>
      </c>
      <c r="C53" s="14">
        <f t="shared" ref="C53:C89" si="10">C7</f>
        <v>5.3855550802447799E-5</v>
      </c>
      <c r="D53" s="39">
        <v>6.2558500000000003E-2</v>
      </c>
      <c r="E53" s="15">
        <f t="shared" si="2"/>
        <v>22396.304490546132</v>
      </c>
      <c r="F53" s="15">
        <f t="shared" ref="F53:F85" si="11">E53*G53</f>
        <v>5.0682837062105833E-4</v>
      </c>
      <c r="G53" s="16">
        <f t="shared" si="3"/>
        <v>2.2629999999999972E-8</v>
      </c>
      <c r="I53" s="1">
        <f t="shared" si="4"/>
        <v>5.3855550802447799E-5</v>
      </c>
      <c r="J53" s="1">
        <f t="shared" si="5"/>
        <v>22396.304490546132</v>
      </c>
      <c r="K53" s="1">
        <f t="shared" si="6"/>
        <v>5.0682837062105833E-4</v>
      </c>
      <c r="P53" s="38">
        <v>-3.2433999999999998</v>
      </c>
      <c r="Q53" s="14">
        <f t="shared" si="7"/>
        <v>6.1192504851645402E-6</v>
      </c>
      <c r="R53" s="37">
        <v>-3.7883E-2</v>
      </c>
      <c r="S53" s="15">
        <f t="shared" si="8"/>
        <v>421921.61213684978</v>
      </c>
      <c r="T53" s="15">
        <f t="shared" si="9"/>
        <v>7.4384780219726573E-3</v>
      </c>
      <c r="U53" s="16">
        <f t="shared" ref="U53:U87" si="12">(P54-P53)*O$47</f>
        <v>1.762999999999999E-8</v>
      </c>
      <c r="Z53" s="21"/>
      <c r="AA53" s="38">
        <v>-3.4380000000000002</v>
      </c>
      <c r="AB53" s="12">
        <f>X5</f>
        <v>2.6395356185000901E-5</v>
      </c>
      <c r="AC53" s="13">
        <v>-0.09</v>
      </c>
      <c r="AD53" s="26">
        <f t="shared" ref="AD53:AD91" si="13">EXP((AC53-AC$61)/(0.008314*310))/AB53</f>
        <v>1420065.7966156472</v>
      </c>
      <c r="AE53" s="26">
        <f>AF53*AD53</f>
        <v>2.7165858689257336E-2</v>
      </c>
      <c r="AF53" s="27">
        <f>(AA54-AA53)*O$47</f>
        <v>1.9130000000000003E-8</v>
      </c>
      <c r="AG53" s="27"/>
      <c r="AH53" s="26">
        <f>Y5</f>
        <v>2.6395356185000901E-5</v>
      </c>
      <c r="AI53" s="26">
        <f>EXP((AC53-AC$61)/(0.008314*310))/AH53</f>
        <v>1420065.7966156472</v>
      </c>
      <c r="AJ53" s="26">
        <f>AF53*AI53</f>
        <v>2.7165858689257336E-2</v>
      </c>
    </row>
    <row r="54" spans="1:36" x14ac:dyDescent="0.2">
      <c r="B54" s="38">
        <v>-2.8965000000000001</v>
      </c>
      <c r="C54" s="14">
        <f t="shared" si="10"/>
        <v>7.7787720877532393E-6</v>
      </c>
      <c r="D54" s="39">
        <v>0.48311250000000006</v>
      </c>
      <c r="E54" s="15">
        <f t="shared" si="2"/>
        <v>203915.26271687433</v>
      </c>
      <c r="F54" s="15">
        <f t="shared" si="11"/>
        <v>3.4420896346608401E-3</v>
      </c>
      <c r="G54" s="16">
        <f t="shared" si="3"/>
        <v>1.6880000000000006E-8</v>
      </c>
      <c r="I54" s="1">
        <f t="shared" si="4"/>
        <v>7.7787720877532393E-6</v>
      </c>
      <c r="J54" s="1">
        <f t="shared" si="5"/>
        <v>203915.26271687433</v>
      </c>
      <c r="K54" s="1">
        <f t="shared" si="6"/>
        <v>3.4420896346608401E-3</v>
      </c>
      <c r="P54" s="38">
        <v>-3.0670999999999999</v>
      </c>
      <c r="Q54" s="14">
        <f t="shared" si="7"/>
        <v>3.6793979390442301E-6</v>
      </c>
      <c r="R54" s="37">
        <v>0.17626</v>
      </c>
      <c r="S54" s="15">
        <f t="shared" si="8"/>
        <v>762495.68809483305</v>
      </c>
      <c r="T54" s="15">
        <f t="shared" si="9"/>
        <v>1.3961296049016395E-2</v>
      </c>
      <c r="U54" s="16">
        <f t="shared" si="12"/>
        <v>1.8310000000000003E-8</v>
      </c>
      <c r="Z54" s="21"/>
      <c r="AA54" s="38">
        <v>-3.2467000000000001</v>
      </c>
      <c r="AB54" s="12">
        <f>X6</f>
        <v>1.87337694022274E-5</v>
      </c>
      <c r="AC54" s="13">
        <v>-0.39</v>
      </c>
      <c r="AD54" s="26">
        <f t="shared" si="13"/>
        <v>1780981.2474056338</v>
      </c>
      <c r="AE54" s="26">
        <f t="shared" ref="AE54:AE91" si="14">AF54*AD54</f>
        <v>3.9377495380138614E-2</v>
      </c>
      <c r="AF54" s="27">
        <f>(AA55-AA54)*O$47</f>
        <v>2.2110000000000027E-8</v>
      </c>
      <c r="AG54" s="27"/>
      <c r="AH54" s="26">
        <f>Y6</f>
        <v>1.87337694022274E-5</v>
      </c>
      <c r="AI54" s="26">
        <f t="shared" ref="AI54:AI91" si="15">EXP((AC54-AC$61)/(0.008314*310))/AH54</f>
        <v>1780981.2474056338</v>
      </c>
      <c r="AJ54" s="26">
        <f t="shared" ref="AJ54:AJ90" si="16">AF54*AI54</f>
        <v>3.9377495380138614E-2</v>
      </c>
    </row>
    <row r="55" spans="1:36" x14ac:dyDescent="0.2">
      <c r="B55" s="38">
        <v>-2.7277</v>
      </c>
      <c r="C55" s="14">
        <f t="shared" si="10"/>
        <v>4.5722224633182996E-6</v>
      </c>
      <c r="D55" s="39">
        <v>1.1890499999999999</v>
      </c>
      <c r="E55" s="15">
        <f t="shared" si="2"/>
        <v>489314.14126739372</v>
      </c>
      <c r="F55" s="15">
        <f t="shared" si="11"/>
        <v>7.7800948461515503E-3</v>
      </c>
      <c r="G55" s="16">
        <f t="shared" si="3"/>
        <v>1.589999999999998E-8</v>
      </c>
      <c r="I55" s="1">
        <f t="shared" si="4"/>
        <v>4.5722224633182996E-6</v>
      </c>
      <c r="J55" s="1">
        <f t="shared" si="5"/>
        <v>489314.14126739372</v>
      </c>
      <c r="K55" s="1">
        <f t="shared" si="6"/>
        <v>7.7800948461515503E-3</v>
      </c>
      <c r="P55" s="38">
        <v>-2.8839999999999999</v>
      </c>
      <c r="Q55" s="14">
        <f t="shared" si="7"/>
        <v>7.8564474911461897E-7</v>
      </c>
      <c r="R55" s="37">
        <v>0.50665000000000004</v>
      </c>
      <c r="S55" s="15">
        <f t="shared" si="8"/>
        <v>4059385.3738180413</v>
      </c>
      <c r="T55" s="15">
        <f t="shared" si="9"/>
        <v>7.1161025603030253E-2</v>
      </c>
      <c r="U55" s="16">
        <f t="shared" si="12"/>
        <v>1.7529999999999999E-8</v>
      </c>
      <c r="Z55" s="21"/>
      <c r="AA55" s="38">
        <v>-3.0255999999999998</v>
      </c>
      <c r="AB55" s="12">
        <f>X7</f>
        <v>6.0768911770944703E-6</v>
      </c>
      <c r="AC55" s="13">
        <v>-0.94</v>
      </c>
      <c r="AD55" s="26">
        <f t="shared" si="13"/>
        <v>4435323.9857531879</v>
      </c>
      <c r="AE55" s="26">
        <f t="shared" si="14"/>
        <v>7.8549587787688877E-2</v>
      </c>
      <c r="AF55" s="27">
        <f>(AA56-AA55)*O$47</f>
        <v>1.7709999999999981E-8</v>
      </c>
      <c r="AG55" s="27"/>
      <c r="AH55" s="26">
        <f>Y7</f>
        <v>6.0768911770944703E-6</v>
      </c>
      <c r="AI55" s="26">
        <f t="shared" si="15"/>
        <v>4435323.9857531879</v>
      </c>
      <c r="AJ55" s="26">
        <f t="shared" si="16"/>
        <v>7.8549587787688877E-2</v>
      </c>
    </row>
    <row r="56" spans="1:36" x14ac:dyDescent="0.2">
      <c r="B56" s="38">
        <v>-2.5687000000000002</v>
      </c>
      <c r="C56" s="14">
        <f t="shared" si="10"/>
        <v>6.6111976543463095E-7</v>
      </c>
      <c r="D56" s="39">
        <v>2.0753999999999997</v>
      </c>
      <c r="E56" s="15">
        <f t="shared" si="2"/>
        <v>3500114.6412624633</v>
      </c>
      <c r="F56" s="15">
        <f t="shared" si="11"/>
        <v>7.7527539303963638E-2</v>
      </c>
      <c r="G56" s="16">
        <f t="shared" si="3"/>
        <v>2.2150000000000023E-8</v>
      </c>
      <c r="I56" s="1">
        <f t="shared" si="4"/>
        <v>6.6111976543463095E-7</v>
      </c>
      <c r="J56" s="1">
        <f t="shared" si="5"/>
        <v>3500114.6412624633</v>
      </c>
      <c r="K56" s="1">
        <f t="shared" si="6"/>
        <v>7.7527539303963638E-2</v>
      </c>
      <c r="P56" s="38">
        <v>-2.7086999999999999</v>
      </c>
      <c r="Q56" s="14">
        <f t="shared" si="7"/>
        <v>2.2628048905014799E-7</v>
      </c>
      <c r="R56" s="37">
        <v>0.74753999999999998</v>
      </c>
      <c r="S56" s="15">
        <f t="shared" si="8"/>
        <v>15474995.713003304</v>
      </c>
      <c r="T56" s="15">
        <f t="shared" si="9"/>
        <v>0.29928641708948389</v>
      </c>
      <c r="U56" s="16">
        <f t="shared" si="12"/>
        <v>1.934E-8</v>
      </c>
      <c r="Z56" s="21"/>
      <c r="AA56" s="38">
        <v>-2.8485</v>
      </c>
      <c r="AB56" s="12">
        <f>X8</f>
        <v>1.4682760072101801E-6</v>
      </c>
      <c r="AC56" s="13">
        <v>-1.24</v>
      </c>
      <c r="AD56" s="26">
        <f t="shared" si="13"/>
        <v>16339833.576227784</v>
      </c>
      <c r="AE56" s="26">
        <f t="shared" si="14"/>
        <v>0.34460709012264412</v>
      </c>
      <c r="AF56" s="27">
        <f>(AA57-AA56)*O$47</f>
        <v>2.1090000000000009E-8</v>
      </c>
      <c r="AG56" s="27"/>
      <c r="AH56" s="26">
        <f>Y8</f>
        <v>1.4682760072101801E-6</v>
      </c>
      <c r="AI56" s="26">
        <f t="shared" si="15"/>
        <v>16339833.576227784</v>
      </c>
      <c r="AJ56" s="26">
        <f t="shared" si="16"/>
        <v>0.34460709012264412</v>
      </c>
    </row>
    <row r="57" spans="1:36" x14ac:dyDescent="0.2">
      <c r="B57" s="38">
        <v>-2.3472</v>
      </c>
      <c r="C57" s="14">
        <f t="shared" si="10"/>
        <v>8.53436987794049E-7</v>
      </c>
      <c r="D57" s="39">
        <v>2.1623250000000001</v>
      </c>
      <c r="E57" s="15">
        <f t="shared" si="2"/>
        <v>2113377.5372372572</v>
      </c>
      <c r="F57" s="15">
        <f t="shared" si="11"/>
        <v>2.5297129120729948E-2</v>
      </c>
      <c r="G57" s="16">
        <f t="shared" si="3"/>
        <v>1.1969999999999991E-8</v>
      </c>
      <c r="I57" s="1">
        <f t="shared" si="4"/>
        <v>8.53436987794049E-7</v>
      </c>
      <c r="J57" s="1">
        <f t="shared" si="5"/>
        <v>2113377.5372372572</v>
      </c>
      <c r="K57" s="1">
        <f t="shared" si="6"/>
        <v>2.5297129120729948E-2</v>
      </c>
      <c r="P57" s="38">
        <v>-2.5152999999999999</v>
      </c>
      <c r="Q57" s="14">
        <f t="shared" si="7"/>
        <v>1.1881154398027301E-7</v>
      </c>
      <c r="R57" s="37">
        <v>0.1384</v>
      </c>
      <c r="S57" s="15">
        <f t="shared" si="8"/>
        <v>23268903.405030314</v>
      </c>
      <c r="T57" s="15">
        <f t="shared" si="9"/>
        <v>0.52471377178343315</v>
      </c>
      <c r="U57" s="16">
        <f t="shared" si="12"/>
        <v>2.254999999999998E-8</v>
      </c>
      <c r="Z57" s="21"/>
      <c r="AA57" s="38">
        <v>-2.6375999999999999</v>
      </c>
      <c r="AB57" s="12">
        <f>X9</f>
        <v>-2.2046582236491699E-6</v>
      </c>
      <c r="AC57" s="13">
        <v>-1.81</v>
      </c>
      <c r="AD57" s="26">
        <f t="shared" si="13"/>
        <v>-8723007.610880306</v>
      </c>
      <c r="AE57" s="26">
        <f t="shared" si="14"/>
        <v>-0.17541968305480279</v>
      </c>
      <c r="AF57" s="27">
        <f>(AA58-AA57)*O$47</f>
        <v>2.0109999999999983E-8</v>
      </c>
      <c r="AG57" s="27"/>
      <c r="AH57" s="26">
        <f>Y9</f>
        <v>3.17058597740194E-6</v>
      </c>
      <c r="AI57" s="26">
        <f t="shared" si="15"/>
        <v>6065519.3082132246</v>
      </c>
      <c r="AJ57" s="26">
        <f t="shared" si="16"/>
        <v>0.12197759328816785</v>
      </c>
    </row>
    <row r="58" spans="1:36" x14ac:dyDescent="0.2">
      <c r="B58" s="38">
        <v>-2.2275</v>
      </c>
      <c r="C58" s="14">
        <f t="shared" si="10"/>
        <v>1.1681604760921501E-6</v>
      </c>
      <c r="D58" s="39">
        <v>1.5201249999999999</v>
      </c>
      <c r="E58" s="15">
        <f>EXP((D59-D$51)/(0.008314*310))/C58</f>
        <v>1168952.4241226627</v>
      </c>
      <c r="F58" s="15">
        <f t="shared" si="11"/>
        <v>2.1648998894751716E-2</v>
      </c>
      <c r="G58" s="16">
        <f t="shared" si="3"/>
        <v>1.8520000000000003E-8</v>
      </c>
      <c r="I58" s="1">
        <f t="shared" si="4"/>
        <v>1.1681604760921501E-6</v>
      </c>
      <c r="J58" s="1">
        <f t="shared" si="5"/>
        <v>1168952.4241226627</v>
      </c>
      <c r="K58" s="1">
        <f t="shared" si="6"/>
        <v>2.1648998894751716E-2</v>
      </c>
      <c r="P58" s="38">
        <v>-2.2898000000000001</v>
      </c>
      <c r="Q58" s="14">
        <f t="shared" si="7"/>
        <v>8.9302776110667194E-8</v>
      </c>
      <c r="R58" s="37">
        <v>-1.6474</v>
      </c>
      <c r="S58" s="15">
        <f t="shared" si="8"/>
        <v>15482942.559324449</v>
      </c>
      <c r="T58" s="15">
        <f t="shared" si="9"/>
        <v>0.31089748659123506</v>
      </c>
      <c r="U58" s="16">
        <f t="shared" si="12"/>
        <v>2.0080000000000008E-8</v>
      </c>
      <c r="Z58" s="21"/>
      <c r="AA58" s="38">
        <v>-2.4365000000000001</v>
      </c>
      <c r="AB58" s="12">
        <f>X10</f>
        <v>3.8979364098760401E-7</v>
      </c>
      <c r="AC58" s="13">
        <v>-3.23</v>
      </c>
      <c r="AD58" s="26">
        <f t="shared" si="13"/>
        <v>28437785.987575065</v>
      </c>
      <c r="AE58" s="26">
        <f t="shared" si="14"/>
        <v>0.49424872046405449</v>
      </c>
      <c r="AF58" s="27">
        <f>(AA59-AA58)*O$47</f>
        <v>1.7379999999999994E-8</v>
      </c>
      <c r="AG58" s="27"/>
      <c r="AH58" s="26">
        <f>Y10</f>
        <v>3.8979364098760401E-7</v>
      </c>
      <c r="AI58" s="26">
        <f t="shared" si="15"/>
        <v>28437785.987575065</v>
      </c>
      <c r="AJ58" s="26">
        <f t="shared" si="16"/>
        <v>0.49424872046405449</v>
      </c>
    </row>
    <row r="59" spans="1:36" x14ac:dyDescent="0.2">
      <c r="B59" s="38">
        <v>-2.0423</v>
      </c>
      <c r="C59" s="14">
        <f t="shared" si="10"/>
        <v>1.8787236184909401E-7</v>
      </c>
      <c r="D59" s="39">
        <v>0.80293999999999999</v>
      </c>
      <c r="E59" s="15">
        <f>EXP((D60-D$51)/(0.008314*310))/C59</f>
        <v>6969529.4531437838</v>
      </c>
      <c r="F59" s="15">
        <f t="shared" si="11"/>
        <v>0.15758106093558091</v>
      </c>
      <c r="G59" s="16">
        <f t="shared" si="3"/>
        <v>2.2609999999999995E-8</v>
      </c>
      <c r="I59" s="1">
        <f t="shared" si="4"/>
        <v>1.8787236184909401E-7</v>
      </c>
      <c r="J59" s="1">
        <f t="shared" si="5"/>
        <v>6969529.4531437838</v>
      </c>
      <c r="K59" s="1">
        <f>J59*G59</f>
        <v>0.15758106093558091</v>
      </c>
      <c r="P59" s="38">
        <v>-2.089</v>
      </c>
      <c r="Q59" s="14">
        <f t="shared" si="7"/>
        <v>1.2777673242208599E-7</v>
      </c>
      <c r="R59" s="37">
        <v>-2.4824999999999999</v>
      </c>
      <c r="S59" s="15">
        <f t="shared" si="8"/>
        <v>7826150.9826115388</v>
      </c>
      <c r="T59" s="15">
        <f t="shared" si="9"/>
        <v>0.16528830875275571</v>
      </c>
      <c r="U59" s="16">
        <f t="shared" si="12"/>
        <v>2.1120000000000003E-8</v>
      </c>
      <c r="Z59" s="21"/>
      <c r="AA59" s="38">
        <v>-2.2627000000000002</v>
      </c>
      <c r="AB59" s="12">
        <f>X11</f>
        <v>1.65542945224907E-7</v>
      </c>
      <c r="AC59" s="13">
        <v>-5.2</v>
      </c>
      <c r="AD59" s="26">
        <f t="shared" si="13"/>
        <v>31179213.273511235</v>
      </c>
      <c r="AE59" s="26">
        <f t="shared" si="14"/>
        <v>0.49824382811071</v>
      </c>
      <c r="AF59" s="27">
        <f>(AA60-AA59)*O$47</f>
        <v>1.5980000000000015E-8</v>
      </c>
      <c r="AG59" s="27"/>
      <c r="AH59" s="26">
        <f>Y11</f>
        <v>1.65542945224907E-7</v>
      </c>
      <c r="AI59" s="26">
        <f t="shared" si="15"/>
        <v>31179213.273511235</v>
      </c>
      <c r="AJ59" s="26">
        <f t="shared" si="16"/>
        <v>0.49824382811071</v>
      </c>
    </row>
    <row r="60" spans="1:36" x14ac:dyDescent="0.2">
      <c r="B60" s="38">
        <v>-1.8162</v>
      </c>
      <c r="C60" s="14">
        <f t="shared" si="10"/>
        <v>3.6293453222972397E-7</v>
      </c>
      <c r="D60" s="39">
        <v>0.69473549999999995</v>
      </c>
      <c r="E60" s="15">
        <f t="shared" si="2"/>
        <v>7107063.9240247402</v>
      </c>
      <c r="F60" s="15">
        <f t="shared" si="11"/>
        <v>0.14171485464505335</v>
      </c>
      <c r="G60" s="16">
        <f t="shared" si="3"/>
        <v>1.9940000000000002E-8</v>
      </c>
      <c r="I60" s="1">
        <f t="shared" si="4"/>
        <v>3.6293453222972397E-7</v>
      </c>
      <c r="J60" s="1">
        <f t="shared" si="5"/>
        <v>7107063.9240247402</v>
      </c>
      <c r="K60" s="1">
        <f t="shared" si="6"/>
        <v>0.14171485464505335</v>
      </c>
      <c r="P60" s="38">
        <v>-1.8777999999999999</v>
      </c>
      <c r="Q60" s="14">
        <f t="shared" si="7"/>
        <v>1.55822398448565E-7</v>
      </c>
      <c r="R60" s="37">
        <v>-2.1044</v>
      </c>
      <c r="S60" s="15">
        <f t="shared" si="8"/>
        <v>7431591.4621387804</v>
      </c>
      <c r="T60" s="15">
        <f t="shared" si="9"/>
        <v>0.1166759859555787</v>
      </c>
      <c r="U60" s="16">
        <f t="shared" si="12"/>
        <v>1.5699999999999978E-8</v>
      </c>
      <c r="Z60" s="21"/>
      <c r="AA60" s="38">
        <v>-2.1029</v>
      </c>
      <c r="AB60" s="12">
        <f>X12</f>
        <v>4.7218113383609098E-8</v>
      </c>
      <c r="AC60" s="13">
        <v>-7.63</v>
      </c>
      <c r="AD60" s="26">
        <f t="shared" si="13"/>
        <v>42579468.227240585</v>
      </c>
      <c r="AE60" s="26">
        <f t="shared" si="14"/>
        <v>0.94526419464474087</v>
      </c>
      <c r="AF60" s="27">
        <f>(AA61-AA60)*O$47</f>
        <v>2.2199999999999997E-8</v>
      </c>
      <c r="AG60" s="27"/>
      <c r="AH60" s="26">
        <f>Y12</f>
        <v>4.7218113383609098E-8</v>
      </c>
      <c r="AI60" s="26">
        <f t="shared" si="15"/>
        <v>42579468.227240585</v>
      </c>
      <c r="AJ60" s="26">
        <f t="shared" si="16"/>
        <v>0.94526419464474087</v>
      </c>
    </row>
    <row r="61" spans="1:36" x14ac:dyDescent="0.2">
      <c r="B61" s="38">
        <v>-1.6168</v>
      </c>
      <c r="C61" s="14">
        <f t="shared" si="10"/>
        <v>3.41908715471199E-7</v>
      </c>
      <c r="D61" s="39">
        <v>2.4421749999999998</v>
      </c>
      <c r="E61" s="15">
        <f t="shared" si="2"/>
        <v>19158123.045567565</v>
      </c>
      <c r="F61" s="15">
        <f t="shared" si="11"/>
        <v>0.30039936935449951</v>
      </c>
      <c r="G61" s="16">
        <f t="shared" si="3"/>
        <v>1.5680000000000005E-8</v>
      </c>
      <c r="I61" s="1">
        <f t="shared" si="4"/>
        <v>3.41908715471199E-7</v>
      </c>
      <c r="J61" s="1">
        <f t="shared" si="5"/>
        <v>19158123.045567565</v>
      </c>
      <c r="K61" s="1">
        <f t="shared" si="6"/>
        <v>0.30039936935449951</v>
      </c>
      <c r="P61" s="38">
        <v>-1.7208000000000001</v>
      </c>
      <c r="Q61" s="14">
        <f t="shared" si="7"/>
        <v>1.3370003397860901E-7</v>
      </c>
      <c r="R61" s="37">
        <v>-0.91276000000000002</v>
      </c>
      <c r="S61" s="15">
        <f t="shared" si="8"/>
        <v>13752365.380958233</v>
      </c>
      <c r="T61" s="15">
        <f t="shared" si="9"/>
        <v>0.23667820820629137</v>
      </c>
      <c r="U61" s="16">
        <f t="shared" si="12"/>
        <v>1.7210000000000013E-8</v>
      </c>
      <c r="Z61" s="21"/>
      <c r="AA61" s="38">
        <v>-1.8809</v>
      </c>
      <c r="AB61" s="12">
        <f>X13</f>
        <v>1.4942625997655799E-7</v>
      </c>
      <c r="AC61" s="13">
        <v>-9.43</v>
      </c>
      <c r="AD61" s="26">
        <f t="shared" si="13"/>
        <v>6692264.1318659792</v>
      </c>
      <c r="AE61" s="26">
        <f t="shared" si="14"/>
        <v>0.12568072039644307</v>
      </c>
      <c r="AF61" s="27">
        <f>(AA62-AA61)*O$47</f>
        <v>1.8779999999999997E-8</v>
      </c>
      <c r="AG61" s="27"/>
      <c r="AH61" s="26">
        <f>Y13</f>
        <v>1.4942625997655799E-7</v>
      </c>
      <c r="AI61" s="26">
        <f t="shared" si="15"/>
        <v>6692264.1318659792</v>
      </c>
      <c r="AJ61" s="26">
        <f t="shared" si="16"/>
        <v>0.12568072039644307</v>
      </c>
    </row>
    <row r="62" spans="1:36" x14ac:dyDescent="0.2">
      <c r="B62" s="38">
        <v>-1.46</v>
      </c>
      <c r="C62" s="14">
        <f t="shared" si="10"/>
        <v>2.3082635513657E-7</v>
      </c>
      <c r="D62" s="39">
        <v>4.8441500000000008</v>
      </c>
      <c r="E62" s="15">
        <f t="shared" si="2"/>
        <v>116912414.61686343</v>
      </c>
      <c r="F62" s="15">
        <f t="shared" si="11"/>
        <v>2.6620956808259804</v>
      </c>
      <c r="G62" s="16">
        <f t="shared" si="3"/>
        <v>2.2770000000000001E-8</v>
      </c>
      <c r="I62" s="1">
        <f t="shared" si="4"/>
        <v>2.3082635513657E-7</v>
      </c>
      <c r="J62" s="1">
        <f t="shared" si="5"/>
        <v>116912414.61686343</v>
      </c>
      <c r="K62" s="1">
        <f t="shared" si="6"/>
        <v>2.6620956808259804</v>
      </c>
      <c r="P62" s="38">
        <v>-1.5487</v>
      </c>
      <c r="Q62" s="14">
        <f t="shared" si="7"/>
        <v>2.7224185703638898E-7</v>
      </c>
      <c r="R62" s="37">
        <v>1.4218</v>
      </c>
      <c r="S62" s="15">
        <f t="shared" si="8"/>
        <v>16708554.434008649</v>
      </c>
      <c r="T62" s="15">
        <f t="shared" si="9"/>
        <v>0.3361761152122541</v>
      </c>
      <c r="U62" s="16">
        <f t="shared" si="12"/>
        <v>2.0120000000000004E-8</v>
      </c>
      <c r="Z62" s="21"/>
      <c r="AA62" s="38">
        <v>-1.6931</v>
      </c>
      <c r="AB62" s="12">
        <f>X14</f>
        <v>4.67371918606771E-7</v>
      </c>
      <c r="AC62" s="13">
        <v>-8.31</v>
      </c>
      <c r="AD62" s="26">
        <f t="shared" si="13"/>
        <v>3304173.9315594034</v>
      </c>
      <c r="AE62" s="26">
        <f t="shared" si="14"/>
        <v>6.5323518626929394E-2</v>
      </c>
      <c r="AF62" s="27">
        <f>(AA63-AA62)*O$47</f>
        <v>1.9769999999999998E-8</v>
      </c>
      <c r="AG62" s="27"/>
      <c r="AH62" s="26">
        <f>Y14</f>
        <v>4.67371918606771E-7</v>
      </c>
      <c r="AI62" s="26">
        <f t="shared" si="15"/>
        <v>3304173.9315594034</v>
      </c>
      <c r="AJ62" s="26">
        <f t="shared" si="16"/>
        <v>6.5323518626929394E-2</v>
      </c>
    </row>
    <row r="63" spans="1:36" x14ac:dyDescent="0.2">
      <c r="B63" s="38">
        <v>-1.2323</v>
      </c>
      <c r="C63" s="14">
        <f t="shared" si="10"/>
        <v>2.2077029642601901E-7</v>
      </c>
      <c r="D63" s="39">
        <v>8.4931999999999999</v>
      </c>
      <c r="E63" s="15">
        <f t="shared" si="2"/>
        <v>480553016.95979017</v>
      </c>
      <c r="F63" s="15">
        <f t="shared" si="11"/>
        <v>9.6879488219093695</v>
      </c>
      <c r="G63" s="16">
        <f t="shared" si="3"/>
        <v>2.016E-8</v>
      </c>
      <c r="I63" s="1">
        <f t="shared" si="4"/>
        <v>2.2077029642601901E-7</v>
      </c>
      <c r="J63" s="1">
        <f t="shared" si="5"/>
        <v>480553016.95979017</v>
      </c>
      <c r="K63" s="1">
        <f t="shared" si="6"/>
        <v>9.6879488219093695</v>
      </c>
      <c r="P63" s="38">
        <v>-1.3474999999999999</v>
      </c>
      <c r="Q63" s="14">
        <f t="shared" si="7"/>
        <v>6.91614511777264E-8</v>
      </c>
      <c r="R63" s="37">
        <v>4.6159999999999997</v>
      </c>
      <c r="S63" s="15">
        <f t="shared" si="8"/>
        <v>227126657.00370687</v>
      </c>
      <c r="T63" s="15">
        <f t="shared" si="9"/>
        <v>3.6431115783394552</v>
      </c>
      <c r="U63" s="16">
        <f t="shared" si="12"/>
        <v>1.6039999999999987E-8</v>
      </c>
      <c r="Z63" s="21"/>
      <c r="AA63" s="38">
        <v>-1.4954000000000001</v>
      </c>
      <c r="AB63" s="12">
        <f>X15</f>
        <v>1.0874619731491099E-7</v>
      </c>
      <c r="AC63" s="13">
        <v>-5.04</v>
      </c>
      <c r="AD63" s="26">
        <f>EXP((AC63-AC$61)/(0.008314*310))/AB63</f>
        <v>50503623.523932993</v>
      </c>
      <c r="AE63" s="26">
        <f t="shared" si="14"/>
        <v>0.88936881025646064</v>
      </c>
      <c r="AF63" s="27">
        <f>(AA64-AA63)*O$47</f>
        <v>1.7610000000000013E-8</v>
      </c>
      <c r="AG63" s="27"/>
      <c r="AH63" s="26">
        <f>Y15</f>
        <v>1.0874619731491099E-7</v>
      </c>
      <c r="AI63" s="26">
        <f t="shared" si="15"/>
        <v>50503623.523932993</v>
      </c>
      <c r="AJ63" s="26">
        <f t="shared" si="16"/>
        <v>0.88936881025646064</v>
      </c>
    </row>
    <row r="64" spans="1:36" x14ac:dyDescent="0.2">
      <c r="B64" s="38">
        <v>-1.0306999999999999</v>
      </c>
      <c r="C64" s="14">
        <f t="shared" si="10"/>
        <v>1.9040377173371199E-7</v>
      </c>
      <c r="D64" s="39">
        <v>12.0215</v>
      </c>
      <c r="E64" s="15">
        <f t="shared" si="2"/>
        <v>903836584.61176705</v>
      </c>
      <c r="F64" s="15">
        <f t="shared" si="11"/>
        <v>13.825988234806196</v>
      </c>
      <c r="G64" s="16">
        <f t="shared" si="3"/>
        <v>1.5296999999999995E-8</v>
      </c>
      <c r="I64" s="1">
        <f t="shared" si="4"/>
        <v>1.9040377173371199E-7</v>
      </c>
      <c r="J64" s="1">
        <f t="shared" si="5"/>
        <v>903836584.61176705</v>
      </c>
      <c r="K64" s="1">
        <f t="shared" si="6"/>
        <v>13.825988234806196</v>
      </c>
      <c r="P64" s="38">
        <v>-1.1871</v>
      </c>
      <c r="Q64" s="14">
        <f t="shared" si="7"/>
        <v>1.29649691879636E-7</v>
      </c>
      <c r="R64" s="37">
        <v>7.4546000000000001</v>
      </c>
      <c r="S64" s="15">
        <f t="shared" si="8"/>
        <v>364484274.36496574</v>
      </c>
      <c r="T64" s="15">
        <f t="shared" si="9"/>
        <v>5.2048354379317114</v>
      </c>
      <c r="U64" s="16">
        <f t="shared" si="12"/>
        <v>1.4280000000000003E-8</v>
      </c>
      <c r="Z64" s="21"/>
      <c r="AA64" s="38">
        <v>-1.3192999999999999</v>
      </c>
      <c r="AB64" s="12">
        <f>X16</f>
        <v>1.00075768068604E-7</v>
      </c>
      <c r="AC64" s="13">
        <v>-0.49</v>
      </c>
      <c r="AD64" s="26">
        <f t="shared" si="13"/>
        <v>320704528.46323049</v>
      </c>
      <c r="AE64" s="26">
        <f t="shared" si="14"/>
        <v>5.8207871916076321</v>
      </c>
      <c r="AF64" s="27">
        <f>(AA65-AA64)*O$47</f>
        <v>1.8149999999999997E-8</v>
      </c>
      <c r="AG64" s="27"/>
      <c r="AH64" s="26">
        <f>Y16</f>
        <v>1.00075768068604E-7</v>
      </c>
      <c r="AI64" s="26">
        <f t="shared" si="15"/>
        <v>320704528.46323049</v>
      </c>
      <c r="AJ64" s="26">
        <f t="shared" si="16"/>
        <v>5.8207871916076321</v>
      </c>
    </row>
    <row r="65" spans="2:36" x14ac:dyDescent="0.2">
      <c r="B65" s="38">
        <v>-0.87773000000000001</v>
      </c>
      <c r="C65" s="14">
        <f t="shared" si="10"/>
        <v>1.88297360394943E-7</v>
      </c>
      <c r="D65" s="39">
        <v>13.26825</v>
      </c>
      <c r="E65" s="15">
        <f t="shared" si="2"/>
        <v>823287043.09331512</v>
      </c>
      <c r="F65" s="15">
        <f t="shared" si="11"/>
        <v>15.137778861356784</v>
      </c>
      <c r="G65" s="16">
        <f t="shared" si="3"/>
        <v>1.8386999999999998E-8</v>
      </c>
      <c r="I65" s="1">
        <f t="shared" si="4"/>
        <v>1.88297360394943E-7</v>
      </c>
      <c r="J65" s="1">
        <f t="shared" si="5"/>
        <v>823287043.09331512</v>
      </c>
      <c r="K65" s="1">
        <f t="shared" si="6"/>
        <v>15.137778861356784</v>
      </c>
      <c r="P65" s="38">
        <v>-1.0443</v>
      </c>
      <c r="Q65" s="14">
        <f t="shared" si="7"/>
        <v>6.4563980362856304E-8</v>
      </c>
      <c r="R65" s="37">
        <v>9.7852999999999994</v>
      </c>
      <c r="S65" s="15">
        <f t="shared" si="8"/>
        <v>1807983301.5861077</v>
      </c>
      <c r="T65" s="15">
        <f t="shared" si="9"/>
        <v>30.764643859789206</v>
      </c>
      <c r="U65" s="16">
        <f t="shared" si="12"/>
        <v>1.7015999999999998E-8</v>
      </c>
      <c r="Z65" s="21"/>
      <c r="AA65" s="38">
        <v>-1.1377999999999999</v>
      </c>
      <c r="AB65" s="12">
        <f>X17</f>
        <v>1.1399400687562E-7</v>
      </c>
      <c r="AC65" s="13">
        <v>5.14</v>
      </c>
      <c r="AD65" s="26">
        <f t="shared" si="13"/>
        <v>2501697125.0540185</v>
      </c>
      <c r="AE65" s="26">
        <f t="shared" si="14"/>
        <v>56.868579046727938</v>
      </c>
      <c r="AF65" s="27">
        <f>(AA66-AA65)*O$47</f>
        <v>2.2731999999999995E-8</v>
      </c>
      <c r="AG65" s="27"/>
      <c r="AH65" s="26">
        <f>Y17</f>
        <v>1.1399400687562E-7</v>
      </c>
      <c r="AI65" s="26">
        <f t="shared" si="15"/>
        <v>2501697125.0540185</v>
      </c>
      <c r="AJ65" s="26">
        <f t="shared" si="16"/>
        <v>56.868579046727938</v>
      </c>
    </row>
    <row r="66" spans="2:36" x14ac:dyDescent="0.2">
      <c r="B66" s="38">
        <v>-0.69386000000000003</v>
      </c>
      <c r="C66" s="14">
        <f t="shared" si="10"/>
        <v>3.3481057621387899E-7</v>
      </c>
      <c r="D66" s="39">
        <v>12.998999999999999</v>
      </c>
      <c r="E66" s="15">
        <f t="shared" si="2"/>
        <v>325999805.57916963</v>
      </c>
      <c r="F66" s="15">
        <f t="shared" si="11"/>
        <v>6.6194260522850392</v>
      </c>
      <c r="G66" s="16">
        <f t="shared" si="3"/>
        <v>2.0304999999999999E-8</v>
      </c>
      <c r="I66" s="1">
        <f t="shared" si="4"/>
        <v>3.3481057621387899E-7</v>
      </c>
      <c r="J66" s="1">
        <f t="shared" si="5"/>
        <v>325999805.57916963</v>
      </c>
      <c r="K66" s="1">
        <f t="shared" si="6"/>
        <v>6.6194260522850392</v>
      </c>
      <c r="P66" s="38">
        <v>-0.87414000000000003</v>
      </c>
      <c r="Q66" s="14">
        <f t="shared" si="7"/>
        <v>2.06149974231696E-7</v>
      </c>
      <c r="R66" s="37">
        <v>12.865</v>
      </c>
      <c r="S66" s="15">
        <f t="shared" si="8"/>
        <v>1870449738.766808</v>
      </c>
      <c r="T66" s="15">
        <f t="shared" si="9"/>
        <v>39.11110403761397</v>
      </c>
      <c r="U66" s="16">
        <f t="shared" si="12"/>
        <v>2.0910000000000007E-8</v>
      </c>
      <c r="Z66" s="21"/>
      <c r="AA66" s="38">
        <v>-0.91047999999999996</v>
      </c>
      <c r="AB66" s="12">
        <f>X18</f>
        <v>1.83897147605773E-7</v>
      </c>
      <c r="AC66" s="13">
        <v>13.03</v>
      </c>
      <c r="AD66" s="26">
        <f t="shared" si="13"/>
        <v>33116589856.539257</v>
      </c>
      <c r="AE66" s="26">
        <f t="shared" si="14"/>
        <v>361.26887874498641</v>
      </c>
      <c r="AF66" s="27">
        <f>(AA67-AA66)*O$47</f>
        <v>1.090899999999999E-8</v>
      </c>
      <c r="AG66" s="27"/>
      <c r="AH66" s="26">
        <f>Y18</f>
        <v>1.83897147605773E-7</v>
      </c>
      <c r="AI66" s="26">
        <f t="shared" si="15"/>
        <v>33116589856.539257</v>
      </c>
      <c r="AJ66" s="26">
        <f t="shared" si="16"/>
        <v>361.26887874498641</v>
      </c>
    </row>
    <row r="67" spans="2:36" x14ac:dyDescent="0.2">
      <c r="B67" s="38">
        <v>-0.49081000000000002</v>
      </c>
      <c r="C67" s="14">
        <f t="shared" si="10"/>
        <v>1.08353182222634E-6</v>
      </c>
      <c r="D67" s="39">
        <v>12.0947</v>
      </c>
      <c r="E67" s="15">
        <f t="shared" si="2"/>
        <v>57637439.286168657</v>
      </c>
      <c r="F67" s="15">
        <f t="shared" si="11"/>
        <v>1.3039894264102796</v>
      </c>
      <c r="G67" s="16">
        <f t="shared" si="3"/>
        <v>2.2623999999999998E-8</v>
      </c>
      <c r="I67" s="1">
        <f t="shared" si="4"/>
        <v>1.08353182222634E-6</v>
      </c>
      <c r="J67" s="1">
        <f t="shared" si="5"/>
        <v>57637439.286168657</v>
      </c>
      <c r="K67" s="1">
        <f t="shared" si="6"/>
        <v>1.3039894264102796</v>
      </c>
      <c r="P67" s="38">
        <v>-0.66503999999999996</v>
      </c>
      <c r="Q67" s="14">
        <f t="shared" si="7"/>
        <v>5.7010681314779599E-8</v>
      </c>
      <c r="R67" s="37">
        <v>16.167000000000002</v>
      </c>
      <c r="S67" s="15">
        <f t="shared" si="8"/>
        <v>24354339556.434727</v>
      </c>
      <c r="T67" s="15">
        <f t="shared" si="9"/>
        <v>504.40272655331955</v>
      </c>
      <c r="U67" s="16">
        <f t="shared" si="12"/>
        <v>2.0710999999999996E-8</v>
      </c>
      <c r="Z67" s="21"/>
      <c r="AA67" s="38">
        <v>-0.80139000000000005</v>
      </c>
      <c r="AB67" s="12">
        <f>X19</f>
        <v>5.7651790842106397E-8</v>
      </c>
      <c r="AC67" s="13">
        <v>17.3</v>
      </c>
      <c r="AD67" s="26">
        <f t="shared" si="13"/>
        <v>553762863094.25854</v>
      </c>
      <c r="AE67" s="26">
        <f t="shared" si="14"/>
        <v>10401.881620362554</v>
      </c>
      <c r="AF67" s="27">
        <f>(AA68-AA67)*O$47</f>
        <v>1.8784000000000001E-8</v>
      </c>
      <c r="AG67" s="27"/>
      <c r="AH67" s="26">
        <f>Y19</f>
        <v>5.7651790842106397E-8</v>
      </c>
      <c r="AI67" s="26">
        <f t="shared" si="15"/>
        <v>553762863094.25854</v>
      </c>
      <c r="AJ67" s="26">
        <f t="shared" si="16"/>
        <v>10401.881620362554</v>
      </c>
    </row>
    <row r="68" spans="2:36" x14ac:dyDescent="0.2">
      <c r="B68" s="38">
        <v>-0.26457000000000003</v>
      </c>
      <c r="C68" s="14">
        <f t="shared" si="10"/>
        <v>4.2134340769260701E-6</v>
      </c>
      <c r="D68" s="39">
        <v>10.655750000000001</v>
      </c>
      <c r="E68" s="15">
        <f t="shared" si="2"/>
        <v>11166317.580512537</v>
      </c>
      <c r="F68" s="15">
        <f t="shared" si="11"/>
        <v>0.2255015502749346</v>
      </c>
      <c r="G68" s="16">
        <f t="shared" si="3"/>
        <v>2.0194800000000002E-8</v>
      </c>
      <c r="I68" s="1">
        <f t="shared" si="4"/>
        <v>4.2134340769260701E-6</v>
      </c>
      <c r="J68" s="1">
        <f t="shared" si="5"/>
        <v>11166317.580512537</v>
      </c>
      <c r="K68" s="1">
        <f t="shared" si="6"/>
        <v>0.2255015502749346</v>
      </c>
      <c r="P68" s="38">
        <v>-0.45793</v>
      </c>
      <c r="Q68" s="14">
        <f t="shared" si="7"/>
        <v>5.4127087049930899E-7</v>
      </c>
      <c r="R68" s="37">
        <v>17.417999999999999</v>
      </c>
      <c r="S68" s="15">
        <f t="shared" si="8"/>
        <v>4167902904.2596211</v>
      </c>
      <c r="T68" s="15">
        <f t="shared" si="9"/>
        <v>84.387530102544531</v>
      </c>
      <c r="U68" s="16">
        <f t="shared" si="12"/>
        <v>2.0246999999999996E-8</v>
      </c>
      <c r="Z68" s="21"/>
      <c r="AA68" s="38">
        <v>-0.61355000000000004</v>
      </c>
      <c r="AB68" s="12">
        <f>X20</f>
        <v>1.96711068365547E-7</v>
      </c>
      <c r="AC68" s="13">
        <v>21.86</v>
      </c>
      <c r="AD68" s="26">
        <f>EXP((AC68-AC$61)/(0.008314*310))/AB68</f>
        <v>952116930823.18115</v>
      </c>
      <c r="AE68" s="26">
        <f t="shared" si="14"/>
        <v>18965.217145066945</v>
      </c>
      <c r="AF68" s="27">
        <f>(AA69-AA68)*O$47</f>
        <v>1.9919000000000001E-8</v>
      </c>
      <c r="AG68" s="27"/>
      <c r="AH68" s="26">
        <f>Y20</f>
        <v>1.96711068365547E-7</v>
      </c>
      <c r="AI68" s="26">
        <f t="shared" si="15"/>
        <v>952116930823.18115</v>
      </c>
      <c r="AJ68" s="26">
        <f t="shared" si="16"/>
        <v>18965.217145066945</v>
      </c>
    </row>
    <row r="69" spans="2:36" x14ac:dyDescent="0.2">
      <c r="B69" s="38">
        <v>-6.2621999999999997E-2</v>
      </c>
      <c r="C69" s="14">
        <f t="shared" si="10"/>
        <v>3.0969275858787301E-6</v>
      </c>
      <c r="D69" s="39">
        <v>9.9258000000000006</v>
      </c>
      <c r="E69" s="15">
        <f t="shared" si="2"/>
        <v>15588936.683149032</v>
      </c>
      <c r="F69" s="15">
        <f t="shared" si="11"/>
        <v>0.29614614795711874</v>
      </c>
      <c r="G69" s="16">
        <f t="shared" si="3"/>
        <v>1.8997199999999996E-8</v>
      </c>
      <c r="I69" s="1">
        <f t="shared" si="4"/>
        <v>3.0969275858787301E-6</v>
      </c>
      <c r="J69" s="1">
        <f t="shared" si="5"/>
        <v>15588936.683149032</v>
      </c>
      <c r="K69" s="1">
        <f t="shared" si="6"/>
        <v>0.29614614795711874</v>
      </c>
      <c r="P69" s="38">
        <v>-0.25546000000000002</v>
      </c>
      <c r="Q69" s="14">
        <f t="shared" si="7"/>
        <v>2.8794109965315397E-7</v>
      </c>
      <c r="R69" s="37">
        <v>18.079999999999998</v>
      </c>
      <c r="S69" s="15">
        <f t="shared" si="8"/>
        <v>10129286370.418116</v>
      </c>
      <c r="T69" s="15">
        <f t="shared" si="9"/>
        <v>198.66366772573642</v>
      </c>
      <c r="U69" s="16">
        <f t="shared" si="12"/>
        <v>1.9612800000000001E-8</v>
      </c>
      <c r="Z69" s="21"/>
      <c r="AA69" s="38">
        <v>-0.41436000000000001</v>
      </c>
      <c r="AB69" s="12">
        <f>X21</f>
        <v>3.2720386180830998E-7</v>
      </c>
      <c r="AC69" s="13">
        <v>22.45</v>
      </c>
      <c r="AD69" s="26">
        <f t="shared" si="13"/>
        <v>719645426531.43042</v>
      </c>
      <c r="AE69" s="26">
        <f t="shared" si="14"/>
        <v>14328.140442240778</v>
      </c>
      <c r="AF69" s="27">
        <f>(AA70-AA69)*O$47</f>
        <v>1.9909999999999998E-8</v>
      </c>
      <c r="AG69" s="27"/>
      <c r="AH69" s="26">
        <f>Y21</f>
        <v>3.2720386180830998E-7</v>
      </c>
      <c r="AI69" s="26">
        <f t="shared" si="15"/>
        <v>719645426531.43042</v>
      </c>
      <c r="AJ69" s="26">
        <f t="shared" si="16"/>
        <v>14328.140442240778</v>
      </c>
    </row>
    <row r="70" spans="2:36" x14ac:dyDescent="0.2">
      <c r="B70" s="38">
        <v>0.12734999999999999</v>
      </c>
      <c r="C70" s="14">
        <f t="shared" si="10"/>
        <v>3.1882630160517098E-6</v>
      </c>
      <c r="D70" s="39">
        <v>9.9922749999999994</v>
      </c>
      <c r="E70" s="15">
        <f t="shared" si="2"/>
        <v>21403201.085676797</v>
      </c>
      <c r="F70" s="15">
        <f t="shared" si="11"/>
        <v>0.40918639835596898</v>
      </c>
      <c r="G70" s="16">
        <f t="shared" si="3"/>
        <v>1.9118E-8</v>
      </c>
      <c r="I70" s="1">
        <f t="shared" si="4"/>
        <v>3.1882630160517098E-6</v>
      </c>
      <c r="J70" s="1">
        <f t="shared" si="5"/>
        <v>21403201.085676797</v>
      </c>
      <c r="K70" s="1">
        <f t="shared" si="6"/>
        <v>0.40918639835596898</v>
      </c>
      <c r="P70" s="38">
        <v>-5.9332000000000003E-2</v>
      </c>
      <c r="Q70" s="14">
        <f t="shared" si="7"/>
        <v>3.9563256792927799E-7</v>
      </c>
      <c r="R70" s="37">
        <v>18.323</v>
      </c>
      <c r="S70" s="15">
        <f t="shared" si="8"/>
        <v>8100972727.4306793</v>
      </c>
      <c r="T70" s="15">
        <f t="shared" si="9"/>
        <v>127.07752888338685</v>
      </c>
      <c r="U70" s="16">
        <f t="shared" si="12"/>
        <v>1.56867E-8</v>
      </c>
      <c r="Z70" s="21"/>
      <c r="AA70" s="38">
        <v>-0.21526000000000001</v>
      </c>
      <c r="AB70" s="12">
        <f>X22</f>
        <v>6.8078894631865404E-7</v>
      </c>
      <c r="AC70" s="13">
        <v>22.43</v>
      </c>
      <c r="AD70" s="26">
        <f t="shared" si="13"/>
        <v>343205624353.06061</v>
      </c>
      <c r="AE70" s="26">
        <f t="shared" si="14"/>
        <v>4597.1706970843761</v>
      </c>
      <c r="AF70" s="27">
        <f>(AA71-AA70)*O$47</f>
        <v>1.3394800000000001E-8</v>
      </c>
      <c r="AG70" s="27"/>
      <c r="AH70" s="26">
        <f>Y22</f>
        <v>6.8078894631865404E-7</v>
      </c>
      <c r="AI70" s="26">
        <f t="shared" si="15"/>
        <v>343205624353.06061</v>
      </c>
      <c r="AJ70" s="26">
        <f t="shared" si="16"/>
        <v>4597.1706970843761</v>
      </c>
    </row>
    <row r="71" spans="2:36" x14ac:dyDescent="0.2">
      <c r="B71" s="38">
        <v>0.31852999999999998</v>
      </c>
      <c r="C71" s="14">
        <f t="shared" si="10"/>
        <v>1.07772669709063E-6</v>
      </c>
      <c r="D71" s="39">
        <v>10.884150000000002</v>
      </c>
      <c r="E71" s="15">
        <f t="shared" si="2"/>
        <v>126660888.98976509</v>
      </c>
      <c r="F71" s="15">
        <f t="shared" si="11"/>
        <v>4.910136022577233</v>
      </c>
      <c r="G71" s="16">
        <f t="shared" si="3"/>
        <v>3.8765999999999998E-8</v>
      </c>
      <c r="I71" s="1">
        <f t="shared" si="4"/>
        <v>1.07772669709063E-6</v>
      </c>
      <c r="J71" s="1">
        <f t="shared" si="5"/>
        <v>126660888.98976509</v>
      </c>
      <c r="K71" s="1">
        <f t="shared" si="6"/>
        <v>4.910136022577233</v>
      </c>
      <c r="P71" s="38">
        <v>9.7534999999999997E-2</v>
      </c>
      <c r="Q71" s="14">
        <f t="shared" si="7"/>
        <v>5.6633761376697504E-7</v>
      </c>
      <c r="R71" s="37">
        <v>18.029</v>
      </c>
      <c r="S71" s="15">
        <f>EXP((R71-R$59)/(0.008314*310))/Q71</f>
        <v>5049092773.5802612</v>
      </c>
      <c r="T71" s="15">
        <f t="shared" si="9"/>
        <v>201.08769334699429</v>
      </c>
      <c r="U71" s="16">
        <f t="shared" si="12"/>
        <v>3.9826500000000003E-8</v>
      </c>
      <c r="Z71" s="21"/>
      <c r="AA71" s="38">
        <v>-8.1311999999999995E-2</v>
      </c>
      <c r="AB71" s="12">
        <f>X23</f>
        <v>6.7082692112293204E-7</v>
      </c>
      <c r="AC71" s="13">
        <v>22.6</v>
      </c>
      <c r="AD71" s="26">
        <f t="shared" si="13"/>
        <v>372050802893.34259</v>
      </c>
      <c r="AE71" s="26">
        <f t="shared" si="14"/>
        <v>7721.2447226061167</v>
      </c>
      <c r="AF71" s="27">
        <f>(AA72-AA71)*O$47</f>
        <v>2.0753199999999998E-8</v>
      </c>
      <c r="AG71" s="27"/>
      <c r="AH71" s="26">
        <f>Y23</f>
        <v>6.7082692112293204E-7</v>
      </c>
      <c r="AI71" s="26">
        <f t="shared" si="15"/>
        <v>372050802893.34259</v>
      </c>
      <c r="AJ71" s="26">
        <f t="shared" si="16"/>
        <v>7721.2447226061167</v>
      </c>
    </row>
    <row r="72" spans="2:36" x14ac:dyDescent="0.2">
      <c r="B72" s="38">
        <v>0.70618999999999998</v>
      </c>
      <c r="C72" s="14">
        <f t="shared" si="10"/>
        <v>1.4940057984558899E-6</v>
      </c>
      <c r="D72" s="39">
        <v>12.671150000000001</v>
      </c>
      <c r="E72" s="15">
        <f t="shared" si="2"/>
        <v>66055946.935430579</v>
      </c>
      <c r="F72" s="15">
        <f t="shared" si="11"/>
        <v>1.2945644480405687</v>
      </c>
      <c r="G72" s="16">
        <f t="shared" si="3"/>
        <v>1.9598000000000004E-8</v>
      </c>
      <c r="I72" s="1">
        <f t="shared" si="4"/>
        <v>1.4940057984558899E-6</v>
      </c>
      <c r="J72" s="1">
        <f t="shared" si="5"/>
        <v>66055946.935430579</v>
      </c>
      <c r="K72" s="1">
        <f t="shared" si="6"/>
        <v>1.2945644480405687</v>
      </c>
      <c r="P72" s="38">
        <v>0.49580000000000002</v>
      </c>
      <c r="Q72" s="14">
        <f t="shared" si="7"/>
        <v>2.51064806929995E-7</v>
      </c>
      <c r="R72" s="37">
        <v>16.911999999999999</v>
      </c>
      <c r="S72" s="15">
        <f t="shared" si="8"/>
        <v>7383850874.2663946</v>
      </c>
      <c r="T72" s="15">
        <f t="shared" si="9"/>
        <v>162.34872917249521</v>
      </c>
      <c r="U72" s="16">
        <f t="shared" si="12"/>
        <v>2.1987E-8</v>
      </c>
      <c r="Z72" s="21"/>
      <c r="AA72" s="38">
        <v>0.12622</v>
      </c>
      <c r="AB72" s="12">
        <f>X24</f>
        <v>4.7896537118097997E-7</v>
      </c>
      <c r="AC72" s="13">
        <v>22.43</v>
      </c>
      <c r="AD72" s="26">
        <f t="shared" si="13"/>
        <v>487823566029.09735</v>
      </c>
      <c r="AE72" s="26">
        <f t="shared" si="14"/>
        <v>10633.578092302265</v>
      </c>
      <c r="AF72" s="27">
        <f>(AA73-AA72)*O$47</f>
        <v>2.1798000000000001E-8</v>
      </c>
      <c r="AG72" s="27"/>
      <c r="AH72" s="26">
        <f>Y24</f>
        <v>4.7896537118097997E-7</v>
      </c>
      <c r="AI72" s="26">
        <f t="shared" si="15"/>
        <v>487823566029.09735</v>
      </c>
      <c r="AJ72" s="26">
        <f t="shared" si="16"/>
        <v>10633.578092302265</v>
      </c>
    </row>
    <row r="73" spans="2:36" x14ac:dyDescent="0.2">
      <c r="B73" s="38">
        <v>0.90217000000000003</v>
      </c>
      <c r="C73" s="14">
        <f t="shared" si="10"/>
        <v>9.9931475263265502E-8</v>
      </c>
      <c r="D73" s="39">
        <v>11.835050000000001</v>
      </c>
      <c r="E73" s="15">
        <f t="shared" si="2"/>
        <v>357917153.62516481</v>
      </c>
      <c r="F73" s="15">
        <f t="shared" si="11"/>
        <v>6.6547536373526901</v>
      </c>
      <c r="G73" s="16">
        <f t="shared" si="3"/>
        <v>1.8593000000000003E-8</v>
      </c>
      <c r="I73" s="1">
        <f t="shared" si="4"/>
        <v>9.9931475263265502E-8</v>
      </c>
      <c r="J73" s="1">
        <f t="shared" si="5"/>
        <v>357917153.62516481</v>
      </c>
      <c r="K73" s="1">
        <f t="shared" si="6"/>
        <v>6.6547536373526901</v>
      </c>
      <c r="P73" s="38">
        <v>0.71567000000000003</v>
      </c>
      <c r="Q73" s="14">
        <f t="shared" si="7"/>
        <v>1.16914002475258E-7</v>
      </c>
      <c r="R73" s="37">
        <v>15.590999999999999</v>
      </c>
      <c r="S73" s="15">
        <f t="shared" si="8"/>
        <v>9497454528.5453415</v>
      </c>
      <c r="T73" s="15">
        <f t="shared" si="9"/>
        <v>162.64390880133897</v>
      </c>
      <c r="U73" s="16">
        <f t="shared" si="12"/>
        <v>1.7124999999999999E-8</v>
      </c>
      <c r="Z73" s="21"/>
      <c r="AA73" s="38">
        <v>0.34420000000000001</v>
      </c>
      <c r="AB73" s="12">
        <f>X25</f>
        <v>5.7603142116912497E-7</v>
      </c>
      <c r="AC73" s="13">
        <v>22.06</v>
      </c>
      <c r="AD73" s="26">
        <f t="shared" si="13"/>
        <v>351377457588.73096</v>
      </c>
      <c r="AE73" s="26">
        <f t="shared" si="14"/>
        <v>8673.7525405778215</v>
      </c>
      <c r="AF73" s="27">
        <f>(AA74-AA73)*O$47</f>
        <v>2.4684999999999996E-8</v>
      </c>
      <c r="AG73" s="27"/>
      <c r="AH73" s="26">
        <f>Y25</f>
        <v>5.7603142116912497E-7</v>
      </c>
      <c r="AI73" s="26">
        <f t="shared" si="15"/>
        <v>351377457588.73096</v>
      </c>
      <c r="AJ73" s="26">
        <f t="shared" si="16"/>
        <v>8673.7525405778215</v>
      </c>
    </row>
    <row r="74" spans="2:36" x14ac:dyDescent="0.2">
      <c r="B74" s="38">
        <v>1.0881000000000001</v>
      </c>
      <c r="C74" s="14">
        <f t="shared" si="10"/>
        <v>4.2669108850343E-7</v>
      </c>
      <c r="D74" s="39">
        <v>9.2192249999999998</v>
      </c>
      <c r="E74" s="15">
        <f t="shared" si="2"/>
        <v>14380338.699000968</v>
      </c>
      <c r="F74" s="15">
        <f t="shared" si="11"/>
        <v>0.32959736298110193</v>
      </c>
      <c r="G74" s="16">
        <f t="shared" si="3"/>
        <v>2.2919999999999983E-8</v>
      </c>
      <c r="I74" s="1">
        <f t="shared" si="4"/>
        <v>4.2669108850343E-7</v>
      </c>
      <c r="J74" s="1">
        <f t="shared" si="5"/>
        <v>14380338.699000968</v>
      </c>
      <c r="K74" s="1">
        <f t="shared" si="6"/>
        <v>0.32959736298110193</v>
      </c>
      <c r="P74" s="38">
        <v>0.88692000000000004</v>
      </c>
      <c r="Q74" s="14">
        <f t="shared" si="7"/>
        <v>1.06699873902523E-7</v>
      </c>
      <c r="R74" s="37">
        <v>13.282</v>
      </c>
      <c r="S74" s="15">
        <f t="shared" si="8"/>
        <v>4248464315.8589935</v>
      </c>
      <c r="T74" s="15">
        <f t="shared" si="9"/>
        <v>110.23915206790917</v>
      </c>
      <c r="U74" s="16">
        <f t="shared" si="12"/>
        <v>2.5948000000000002E-8</v>
      </c>
      <c r="Z74" s="21"/>
      <c r="AA74" s="38">
        <v>0.59104999999999996</v>
      </c>
      <c r="AB74" s="12">
        <f>X26</f>
        <v>3.3161848071292301E-7</v>
      </c>
      <c r="AC74" s="13">
        <v>21.22</v>
      </c>
      <c r="AD74" s="26">
        <f t="shared" si="13"/>
        <v>440592609658.16815</v>
      </c>
      <c r="AE74" s="26">
        <f t="shared" si="14"/>
        <v>9262.1378402340142</v>
      </c>
      <c r="AF74" s="27">
        <f>(AA75-AA74)*O$47</f>
        <v>2.1022000000000008E-8</v>
      </c>
      <c r="AG74" s="27"/>
      <c r="AH74" s="26">
        <f>Y26</f>
        <v>3.3161848071292301E-7</v>
      </c>
      <c r="AI74" s="26">
        <f t="shared" si="15"/>
        <v>440592609658.16815</v>
      </c>
      <c r="AJ74" s="26">
        <f t="shared" si="16"/>
        <v>9262.1378402340142</v>
      </c>
    </row>
    <row r="75" spans="2:36" x14ac:dyDescent="0.2">
      <c r="B75" s="38">
        <v>1.3172999999999999</v>
      </c>
      <c r="C75" s="14">
        <f t="shared" si="10"/>
        <v>2.7365935868551798E-7</v>
      </c>
      <c r="D75" s="39">
        <v>4.6757249999999999</v>
      </c>
      <c r="E75" s="15">
        <f t="shared" si="2"/>
        <v>4461970.331001943</v>
      </c>
      <c r="F75" s="15">
        <f t="shared" si="11"/>
        <v>9.1336532675609816E-2</v>
      </c>
      <c r="G75" s="16">
        <f t="shared" si="3"/>
        <v>2.0470000000000011E-8</v>
      </c>
      <c r="I75" s="1">
        <f t="shared" si="4"/>
        <v>2.7365935868551798E-7</v>
      </c>
      <c r="J75" s="1">
        <f t="shared" si="5"/>
        <v>4461970.331001943</v>
      </c>
      <c r="K75" s="1">
        <f t="shared" si="6"/>
        <v>9.1336532675609816E-2</v>
      </c>
      <c r="P75" s="38">
        <v>1.1464000000000001</v>
      </c>
      <c r="Q75" s="14">
        <f t="shared" si="7"/>
        <v>1.4656992001089501E-7</v>
      </c>
      <c r="R75" s="37">
        <v>8.6341999999999999</v>
      </c>
      <c r="S75" s="15">
        <f t="shared" si="8"/>
        <v>509534790.41654277</v>
      </c>
      <c r="T75" s="15">
        <f t="shared" si="9"/>
        <v>8.5601844789979147</v>
      </c>
      <c r="U75" s="16">
        <f t="shared" si="12"/>
        <v>1.6799999999999992E-8</v>
      </c>
      <c r="Z75" s="21"/>
      <c r="AA75" s="38">
        <v>0.80127000000000004</v>
      </c>
      <c r="AB75" s="12">
        <f>X27</f>
        <v>1.9222846158479901E-7</v>
      </c>
      <c r="AC75" s="13">
        <v>16.62</v>
      </c>
      <c r="AD75" s="26">
        <f t="shared" si="13"/>
        <v>127566191803.435</v>
      </c>
      <c r="AE75" s="26">
        <f t="shared" si="14"/>
        <v>2612.9383067097583</v>
      </c>
      <c r="AF75" s="27">
        <f>(AA76-AA75)*O$47</f>
        <v>2.0482999999999996E-8</v>
      </c>
      <c r="AG75" s="27"/>
      <c r="AH75" s="26">
        <f>Y27</f>
        <v>1.9222846158479901E-7</v>
      </c>
      <c r="AI75" s="26">
        <f t="shared" si="15"/>
        <v>127566191803.435</v>
      </c>
      <c r="AJ75" s="26">
        <f t="shared" si="16"/>
        <v>2612.9383067097583</v>
      </c>
    </row>
    <row r="76" spans="2:36" x14ac:dyDescent="0.2">
      <c r="B76" s="38">
        <v>1.522</v>
      </c>
      <c r="C76" s="14">
        <f t="shared" si="10"/>
        <v>3.0921728028536597E-7</v>
      </c>
      <c r="D76" s="39">
        <v>0.51474449999999994</v>
      </c>
      <c r="E76" s="15">
        <f t="shared" si="2"/>
        <v>1890268.6554816335</v>
      </c>
      <c r="F76" s="15">
        <f t="shared" si="11"/>
        <v>3.2512620874284082E-2</v>
      </c>
      <c r="G76" s="16">
        <f t="shared" si="3"/>
        <v>1.7199999999999992E-8</v>
      </c>
      <c r="I76" s="1">
        <f t="shared" si="4"/>
        <v>3.0921728028536597E-7</v>
      </c>
      <c r="J76" s="1">
        <f t="shared" si="5"/>
        <v>1890268.6554816335</v>
      </c>
      <c r="K76" s="1">
        <f t="shared" si="6"/>
        <v>3.2512620874284082E-2</v>
      </c>
      <c r="P76" s="38">
        <v>1.3144</v>
      </c>
      <c r="Q76" s="14">
        <f t="shared" si="7"/>
        <v>1.1399346661412E-7</v>
      </c>
      <c r="R76" s="37">
        <v>5.0743</v>
      </c>
      <c r="S76" s="15">
        <f t="shared" si="8"/>
        <v>164618277.01834518</v>
      </c>
      <c r="T76" s="15">
        <f t="shared" si="9"/>
        <v>2.9812369968022319</v>
      </c>
      <c r="U76" s="16">
        <f t="shared" si="12"/>
        <v>1.8110000000000005E-8</v>
      </c>
      <c r="Z76" s="21"/>
      <c r="AA76" s="38">
        <v>1.0061</v>
      </c>
      <c r="AB76" s="12">
        <f>X28</f>
        <v>7.8183583587310494E-8</v>
      </c>
      <c r="AC76" s="13">
        <v>9.4600000000000009</v>
      </c>
      <c r="AD76" s="26">
        <f t="shared" si="13"/>
        <v>19495862338.455387</v>
      </c>
      <c r="AE76" s="26">
        <f t="shared" si="14"/>
        <v>497.14448963061255</v>
      </c>
      <c r="AF76" s="27">
        <f>(AA77-AA76)*O$47</f>
        <v>2.550000000000001E-8</v>
      </c>
      <c r="AG76" s="27"/>
      <c r="AH76" s="26">
        <f>Y28</f>
        <v>7.8183583587310494E-8</v>
      </c>
      <c r="AI76" s="26">
        <f t="shared" si="15"/>
        <v>19495862338.455387</v>
      </c>
      <c r="AJ76" s="26">
        <f t="shared" si="16"/>
        <v>497.14448963061255</v>
      </c>
    </row>
    <row r="77" spans="2:36" x14ac:dyDescent="0.2">
      <c r="B77" s="38">
        <v>1.694</v>
      </c>
      <c r="C77" s="14">
        <f t="shared" si="10"/>
        <v>2.6335536982398802E-7</v>
      </c>
      <c r="D77" s="39">
        <v>-1.3840112500000001</v>
      </c>
      <c r="E77" s="15">
        <f t="shared" si="2"/>
        <v>1553162.8697731504</v>
      </c>
      <c r="F77" s="15">
        <f t="shared" si="11"/>
        <v>2.9665410812667183E-2</v>
      </c>
      <c r="G77" s="16">
        <f t="shared" si="3"/>
        <v>1.9100000000000006E-8</v>
      </c>
      <c r="I77" s="1">
        <f t="shared" si="4"/>
        <v>2.6335536982398802E-7</v>
      </c>
      <c r="J77" s="1">
        <f t="shared" si="5"/>
        <v>1553162.8697731504</v>
      </c>
      <c r="K77" s="1">
        <f t="shared" si="6"/>
        <v>2.9665410812667183E-2</v>
      </c>
      <c r="P77" s="38">
        <v>1.4955000000000001</v>
      </c>
      <c r="Q77" s="14">
        <f t="shared" si="7"/>
        <v>2.5518215958349202E-7</v>
      </c>
      <c r="R77" s="37">
        <v>1.6753</v>
      </c>
      <c r="S77" s="15">
        <f t="shared" si="8"/>
        <v>19667966.787497763</v>
      </c>
      <c r="T77" s="15">
        <f t="shared" si="9"/>
        <v>0.24289938982559722</v>
      </c>
      <c r="U77" s="16">
        <f t="shared" si="12"/>
        <v>1.2349999999999993E-8</v>
      </c>
      <c r="Z77" s="21"/>
      <c r="AA77" s="38">
        <v>1.2611000000000001</v>
      </c>
      <c r="AB77" s="12">
        <f>X29</f>
        <v>1.5274904336572801E-7</v>
      </c>
      <c r="AC77" s="13">
        <v>3.18</v>
      </c>
      <c r="AD77" s="26">
        <f t="shared" si="13"/>
        <v>872707278.17983079</v>
      </c>
      <c r="AE77" s="26">
        <f t="shared" si="14"/>
        <v>14.216401561549429</v>
      </c>
      <c r="AF77" s="27">
        <f>(AA78-AA77)*O$47</f>
        <v>1.6289999999999982E-8</v>
      </c>
      <c r="AG77" s="27"/>
      <c r="AH77" s="26">
        <f>Y29</f>
        <v>1.5274904336572801E-7</v>
      </c>
      <c r="AI77" s="26">
        <f t="shared" si="15"/>
        <v>872707278.17983079</v>
      </c>
      <c r="AJ77" s="26">
        <f t="shared" si="16"/>
        <v>14.216401561549429</v>
      </c>
    </row>
    <row r="78" spans="2:36" x14ac:dyDescent="0.2">
      <c r="B78" s="38">
        <v>1.885</v>
      </c>
      <c r="C78" s="14">
        <f t="shared" si="10"/>
        <v>3.4303188311313303E-7</v>
      </c>
      <c r="D78" s="39">
        <v>-2.3040324999999999</v>
      </c>
      <c r="E78" s="15">
        <f t="shared" si="2"/>
        <v>1083272.7930985834</v>
      </c>
      <c r="F78" s="15">
        <f t="shared" si="11"/>
        <v>1.8415637482675933E-2</v>
      </c>
      <c r="G78" s="15">
        <f t="shared" si="3"/>
        <v>1.7000000000000013E-8</v>
      </c>
      <c r="I78" s="1">
        <f t="shared" si="4"/>
        <v>3.4303188311313303E-7</v>
      </c>
      <c r="J78" s="1">
        <f t="shared" si="5"/>
        <v>1083272.7930985834</v>
      </c>
      <c r="K78" s="1">
        <f t="shared" si="6"/>
        <v>1.8415637482675933E-2</v>
      </c>
      <c r="P78" s="38">
        <v>1.619</v>
      </c>
      <c r="Q78" s="14">
        <f t="shared" si="7"/>
        <v>4.2675109150377398E-7</v>
      </c>
      <c r="R78" s="37">
        <v>7.8589999999999993E-2</v>
      </c>
      <c r="S78" s="15">
        <f t="shared" si="8"/>
        <v>6329678.2756561097</v>
      </c>
      <c r="T78" s="15">
        <f t="shared" si="9"/>
        <v>0.1108326666067385</v>
      </c>
      <c r="U78" s="15">
        <f t="shared" si="12"/>
        <v>1.7510000000000003E-8</v>
      </c>
      <c r="Z78" s="21"/>
      <c r="AA78" s="38">
        <v>1.4239999999999999</v>
      </c>
      <c r="AB78" s="12">
        <f>X30</f>
        <v>1.17540074985306E-7</v>
      </c>
      <c r="AC78" s="13">
        <v>0.63</v>
      </c>
      <c r="AD78" s="26">
        <f t="shared" si="13"/>
        <v>421670846.92876768</v>
      </c>
      <c r="AE78" s="26">
        <f t="shared" si="14"/>
        <v>8.8761713278505656</v>
      </c>
      <c r="AF78" s="27">
        <f>(AA79-AA78)*O$47</f>
        <v>2.1050000000000013E-8</v>
      </c>
      <c r="AG78" s="27"/>
      <c r="AH78" s="26">
        <f>Y30</f>
        <v>1.17540074985306E-7</v>
      </c>
      <c r="AI78" s="26">
        <f t="shared" si="15"/>
        <v>421670846.92876768</v>
      </c>
      <c r="AJ78" s="26">
        <f t="shared" si="16"/>
        <v>8.8761713278505656</v>
      </c>
    </row>
    <row r="79" spans="2:36" x14ac:dyDescent="0.2">
      <c r="B79" s="38">
        <v>2.0550000000000002</v>
      </c>
      <c r="C79" s="14">
        <f t="shared" si="10"/>
        <v>1.6392658485583E-7</v>
      </c>
      <c r="D79" s="39">
        <v>-2.5514250000000001</v>
      </c>
      <c r="E79" s="15">
        <f t="shared" si="2"/>
        <v>2906433.8735426133</v>
      </c>
      <c r="F79" s="15">
        <f t="shared" si="11"/>
        <v>4.6037912556914959E-2</v>
      </c>
      <c r="G79" s="16">
        <f t="shared" si="3"/>
        <v>1.5839999999999988E-8</v>
      </c>
      <c r="I79" s="1">
        <f t="shared" si="4"/>
        <v>1.6392658485583E-7</v>
      </c>
      <c r="J79" s="1">
        <f t="shared" si="5"/>
        <v>2906433.8735426133</v>
      </c>
      <c r="K79" s="1">
        <f t="shared" si="6"/>
        <v>4.6037912556914959E-2</v>
      </c>
      <c r="P79" s="38">
        <v>1.7941</v>
      </c>
      <c r="Q79" s="14">
        <f t="shared" si="7"/>
        <v>9.7797673216250997E-8</v>
      </c>
      <c r="R79" s="37">
        <v>-1.6989000000000001</v>
      </c>
      <c r="S79" s="15">
        <f t="shared" si="8"/>
        <v>13858363.116392544</v>
      </c>
      <c r="T79" s="15">
        <f t="shared" si="9"/>
        <v>0.28825395282096483</v>
      </c>
      <c r="U79" s="16">
        <f t="shared" si="12"/>
        <v>2.0799999999999994E-8</v>
      </c>
      <c r="Z79" s="21"/>
      <c r="AA79" s="38">
        <v>1.6345000000000001</v>
      </c>
      <c r="AB79" s="12">
        <f>X31</f>
        <v>7.9075078370560599E-8</v>
      </c>
      <c r="AC79" s="13">
        <v>-2.1800000000000002</v>
      </c>
      <c r="AD79" s="26">
        <f t="shared" si="13"/>
        <v>210678914.01074454</v>
      </c>
      <c r="AE79" s="26">
        <f t="shared" si="14"/>
        <v>4.1019184557891935</v>
      </c>
      <c r="AF79" s="27">
        <f>(AA80-AA79)*O$47</f>
        <v>1.9469999999999985E-8</v>
      </c>
      <c r="AG79" s="27"/>
      <c r="AH79" s="26">
        <f>Y31</f>
        <v>7.9075078370560599E-8</v>
      </c>
      <c r="AI79" s="26">
        <f t="shared" si="15"/>
        <v>210678914.01074454</v>
      </c>
      <c r="AJ79" s="26">
        <f t="shared" si="16"/>
        <v>4.1019184557891935</v>
      </c>
    </row>
    <row r="80" spans="2:36" x14ac:dyDescent="0.2">
      <c r="B80" s="38">
        <v>2.2134</v>
      </c>
      <c r="C80" s="14">
        <f t="shared" si="10"/>
        <v>6.8368772188703402E-7</v>
      </c>
      <c r="D80" s="39">
        <v>-1.9108649999999998</v>
      </c>
      <c r="E80" s="15">
        <f t="shared" si="2"/>
        <v>822734.95260605123</v>
      </c>
      <c r="F80" s="15">
        <f t="shared" si="11"/>
        <v>1.5895239284348911E-2</v>
      </c>
      <c r="G80" s="16">
        <f t="shared" si="3"/>
        <v>1.9320000000000004E-8</v>
      </c>
      <c r="I80" s="1">
        <f t="shared" si="4"/>
        <v>6.8368772188703402E-7</v>
      </c>
      <c r="J80" s="1">
        <f t="shared" si="5"/>
        <v>822734.95260605123</v>
      </c>
      <c r="K80" s="1">
        <f t="shared" si="6"/>
        <v>1.5895239284348911E-2</v>
      </c>
      <c r="P80" s="38">
        <v>2.0021</v>
      </c>
      <c r="Q80" s="14">
        <f t="shared" si="7"/>
        <v>1.0579312259896499E-7</v>
      </c>
      <c r="R80" s="37">
        <v>-2.3532000000000002</v>
      </c>
      <c r="S80" s="15">
        <f t="shared" si="8"/>
        <v>9938715.3128007278</v>
      </c>
      <c r="T80" s="15">
        <f t="shared" si="9"/>
        <v>0.19112149546515791</v>
      </c>
      <c r="U80" s="16">
        <f t="shared" si="12"/>
        <v>1.9229999999999991E-8</v>
      </c>
      <c r="Z80" s="21"/>
      <c r="AA80" s="38">
        <v>1.8291999999999999</v>
      </c>
      <c r="AB80" s="12">
        <f>X32</f>
        <v>2.6005950293438699E-7</v>
      </c>
      <c r="AC80" s="13">
        <v>-4.75</v>
      </c>
      <c r="AD80" s="26">
        <f t="shared" si="13"/>
        <v>23633623.800640807</v>
      </c>
      <c r="AE80" s="26">
        <f t="shared" si="14"/>
        <v>0.42587790088754712</v>
      </c>
      <c r="AF80" s="27">
        <f>(AA81-AA80)*O$47</f>
        <v>1.8019999999999992E-8</v>
      </c>
      <c r="AG80" s="27"/>
      <c r="AH80" s="26">
        <f>Y32</f>
        <v>2.6005950293438699E-7</v>
      </c>
      <c r="AI80" s="26">
        <f t="shared" si="15"/>
        <v>23633623.800640807</v>
      </c>
      <c r="AJ80" s="26">
        <f t="shared" si="16"/>
        <v>0.42587790088754712</v>
      </c>
    </row>
    <row r="81" spans="1:36" x14ac:dyDescent="0.2">
      <c r="B81" s="38">
        <v>2.4066000000000001</v>
      </c>
      <c r="C81" s="14">
        <f t="shared" si="10"/>
        <v>1.3738747977792001E-6</v>
      </c>
      <c r="D81" s="39">
        <v>-1.4829375</v>
      </c>
      <c r="E81" s="15">
        <f t="shared" si="2"/>
        <v>284241.77002177224</v>
      </c>
      <c r="F81" s="15">
        <f t="shared" si="11"/>
        <v>7.0094020487369004E-3</v>
      </c>
      <c r="G81" s="16">
        <f t="shared" si="3"/>
        <v>2.4659999999999991E-8</v>
      </c>
      <c r="I81" s="1">
        <f t="shared" si="4"/>
        <v>1.3738747977792001E-6</v>
      </c>
      <c r="J81" s="1">
        <f t="shared" si="5"/>
        <v>284241.77002177224</v>
      </c>
      <c r="K81" s="1">
        <f t="shared" si="6"/>
        <v>7.0094020487369004E-3</v>
      </c>
      <c r="P81" s="38">
        <v>2.1943999999999999</v>
      </c>
      <c r="Q81" s="14">
        <f t="shared" si="7"/>
        <v>1.50656456508706E-7</v>
      </c>
      <c r="R81" s="37">
        <v>-1.3136000000000001</v>
      </c>
      <c r="S81" s="15">
        <f t="shared" si="8"/>
        <v>10446664.749026015</v>
      </c>
      <c r="T81" s="15">
        <f t="shared" si="9"/>
        <v>0.25301822022141002</v>
      </c>
      <c r="U81" s="16">
        <f t="shared" si="12"/>
        <v>2.4219999999999995E-8</v>
      </c>
      <c r="Z81" s="21"/>
      <c r="AA81" s="38">
        <v>2.0093999999999999</v>
      </c>
      <c r="AB81" s="12">
        <f>X33</f>
        <v>2.7013660522221399E-7</v>
      </c>
      <c r="AC81" s="13">
        <v>-5.54</v>
      </c>
      <c r="AD81" s="26">
        <f t="shared" si="13"/>
        <v>16745600.196726929</v>
      </c>
      <c r="AE81" s="26">
        <f t="shared" si="14"/>
        <v>0.35149014812929857</v>
      </c>
      <c r="AF81" s="27">
        <f>(AA82-AA81)*O$47</f>
        <v>2.0990000000000018E-8</v>
      </c>
      <c r="AG81" s="27"/>
      <c r="AH81" s="26">
        <f>Y33</f>
        <v>2.7013660522221399E-7</v>
      </c>
      <c r="AI81" s="26">
        <f t="shared" si="15"/>
        <v>16745600.196726929</v>
      </c>
      <c r="AJ81" s="26">
        <f t="shared" si="16"/>
        <v>0.35149014812929857</v>
      </c>
    </row>
    <row r="82" spans="1:36" x14ac:dyDescent="0.2">
      <c r="B82" s="38">
        <v>2.6532</v>
      </c>
      <c r="C82" s="14">
        <f t="shared" si="10"/>
        <v>4.7973606857955999E-6</v>
      </c>
      <c r="D82" s="39">
        <v>-2.4234599999999995</v>
      </c>
      <c r="E82" s="15">
        <f t="shared" si="2"/>
        <v>55061.597484598569</v>
      </c>
      <c r="F82" s="15">
        <f t="shared" si="11"/>
        <v>1.1205035088115809E-3</v>
      </c>
      <c r="G82" s="16">
        <f t="shared" si="3"/>
        <v>2.035E-8</v>
      </c>
      <c r="I82" s="1">
        <f t="shared" si="4"/>
        <v>4.7973606857955999E-6</v>
      </c>
      <c r="J82" s="1">
        <f t="shared" si="5"/>
        <v>55061.597484598569</v>
      </c>
      <c r="K82" s="1">
        <f t="shared" si="6"/>
        <v>1.1205035088115809E-3</v>
      </c>
      <c r="P82" s="38">
        <v>2.4365999999999999</v>
      </c>
      <c r="Q82" s="14">
        <f t="shared" si="7"/>
        <v>1.07247461894749E-7</v>
      </c>
      <c r="R82" s="37">
        <v>0.98773</v>
      </c>
      <c r="S82" s="15">
        <f t="shared" si="8"/>
        <v>35839655.037030026</v>
      </c>
      <c r="T82" s="15">
        <f t="shared" si="9"/>
        <v>0.67306872159542452</v>
      </c>
      <c r="U82" s="16">
        <f>(P83-P82)*O$47</f>
        <v>1.8780000000000017E-8</v>
      </c>
      <c r="Z82" s="21"/>
      <c r="AA82" s="38">
        <v>2.2193000000000001</v>
      </c>
      <c r="AB82" s="12">
        <f>X34</f>
        <v>1.3789809483602899E-7</v>
      </c>
      <c r="AC82" s="13">
        <v>-3.34</v>
      </c>
      <c r="AD82" s="26">
        <f t="shared" si="13"/>
        <v>77025889.733598903</v>
      </c>
      <c r="AE82" s="26">
        <f t="shared" si="14"/>
        <v>1.8455403180170282</v>
      </c>
      <c r="AF82" s="27">
        <f>(AA83-AA82)*O$47</f>
        <v>2.3959999999999981E-8</v>
      </c>
      <c r="AG82" s="27"/>
      <c r="AH82" s="26">
        <f>Y34</f>
        <v>1.3789809483602899E-7</v>
      </c>
      <c r="AI82" s="26">
        <f t="shared" si="15"/>
        <v>77025889.733598903</v>
      </c>
      <c r="AJ82" s="26">
        <f t="shared" si="16"/>
        <v>1.8455403180170282</v>
      </c>
    </row>
    <row r="83" spans="1:36" x14ac:dyDescent="0.2">
      <c r="B83" s="38">
        <v>2.8567</v>
      </c>
      <c r="C83" s="14">
        <f t="shared" si="10"/>
        <v>8.5667299509800392E-6</v>
      </c>
      <c r="D83" s="39">
        <v>-3.4310499999999999</v>
      </c>
      <c r="E83" s="15">
        <f t="shared" si="2"/>
        <v>25362.851879043996</v>
      </c>
      <c r="F83" s="15">
        <f t="shared" si="11"/>
        <v>5.1714854981370698E-4</v>
      </c>
      <c r="G83" s="16">
        <f t="shared" si="3"/>
        <v>2.0389999999999996E-8</v>
      </c>
      <c r="I83" s="1">
        <f t="shared" si="4"/>
        <v>8.5667299509800392E-6</v>
      </c>
      <c r="J83" s="1">
        <f t="shared" si="5"/>
        <v>25362.851879043996</v>
      </c>
      <c r="K83" s="1">
        <f t="shared" si="6"/>
        <v>5.1714854981370698E-4</v>
      </c>
      <c r="P83" s="38">
        <v>2.6244000000000001</v>
      </c>
      <c r="Q83" s="14">
        <f t="shared" si="7"/>
        <v>1.3295499262303999E-7</v>
      </c>
      <c r="R83" s="37">
        <v>2.5432999999999999</v>
      </c>
      <c r="S83" s="15">
        <f t="shared" si="8"/>
        <v>52864898.034986049</v>
      </c>
      <c r="T83" s="15">
        <f t="shared" si="9"/>
        <v>1.0181779361538317</v>
      </c>
      <c r="U83" s="16">
        <f t="shared" si="12"/>
        <v>1.9260000000000008E-8</v>
      </c>
      <c r="Z83" s="21"/>
      <c r="AA83" s="38">
        <v>2.4588999999999999</v>
      </c>
      <c r="AB83" s="12">
        <f>X35</f>
        <v>2.0979000973753399E-7</v>
      </c>
      <c r="AC83" s="13">
        <v>0.42</v>
      </c>
      <c r="AD83" s="26">
        <f>EXP((AC83-AC$61)/(0.008314*310))/AB83</f>
        <v>217765312.29020596</v>
      </c>
      <c r="AE83" s="26">
        <f t="shared" si="14"/>
        <v>4.9606938139708969</v>
      </c>
      <c r="AF83" s="27">
        <f>(AA84-AA83)*O$47</f>
        <v>2.2780000000000023E-8</v>
      </c>
      <c r="AG83" s="27"/>
      <c r="AH83" s="26">
        <f>Y35</f>
        <v>2.0979000973753399E-7</v>
      </c>
      <c r="AI83" s="26">
        <f t="shared" si="15"/>
        <v>217765312.29020596</v>
      </c>
      <c r="AJ83" s="26">
        <f t="shared" si="16"/>
        <v>4.9606938139708969</v>
      </c>
    </row>
    <row r="84" spans="1:36" x14ac:dyDescent="0.2">
      <c r="B84" s="38">
        <v>3.0606</v>
      </c>
      <c r="C84" s="14">
        <f t="shared" si="10"/>
        <v>4.2977709312334602E-5</v>
      </c>
      <c r="D84" s="39">
        <v>-3.9345250000000003</v>
      </c>
      <c r="E84" s="15">
        <f t="shared" si="2"/>
        <v>4748.0384429334144</v>
      </c>
      <c r="F84" s="15">
        <f t="shared" si="11"/>
        <v>1.0122817960334042E-4</v>
      </c>
      <c r="G84" s="16">
        <f t="shared" si="3"/>
        <v>2.1320000000000005E-8</v>
      </c>
      <c r="I84" s="1">
        <f t="shared" si="4"/>
        <v>4.2977709312334602E-5</v>
      </c>
      <c r="J84" s="1">
        <f t="shared" si="5"/>
        <v>4748.0384429334144</v>
      </c>
      <c r="K84" s="1">
        <f t="shared" si="6"/>
        <v>1.0122817960334042E-4</v>
      </c>
      <c r="P84" s="38">
        <v>2.8170000000000002</v>
      </c>
      <c r="Q84" s="14">
        <f t="shared" si="7"/>
        <v>8.8615352800693505E-7</v>
      </c>
      <c r="R84" s="37">
        <v>2.9609000000000001</v>
      </c>
      <c r="S84" s="15">
        <f t="shared" si="8"/>
        <v>9326758.5667448379</v>
      </c>
      <c r="T84" s="15">
        <f t="shared" si="9"/>
        <v>0.19754074644365544</v>
      </c>
      <c r="U84" s="16">
        <f t="shared" si="12"/>
        <v>2.1179999999999975E-8</v>
      </c>
      <c r="Z84" s="21"/>
      <c r="AA84" s="38">
        <v>2.6867000000000001</v>
      </c>
      <c r="AB84" s="12">
        <f>X36</f>
        <v>2.2968289646750199E-7</v>
      </c>
      <c r="AC84" s="13">
        <v>2.21</v>
      </c>
      <c r="AD84" s="26">
        <f t="shared" si="13"/>
        <v>398353524.4446308</v>
      </c>
      <c r="AE84" s="26">
        <f t="shared" si="14"/>
        <v>5.7323072167582332</v>
      </c>
      <c r="AF84" s="27">
        <f>(AA85-AA84)*O$47</f>
        <v>1.438999999999999E-8</v>
      </c>
      <c r="AG84" s="27"/>
      <c r="AH84" s="26">
        <f>Y36</f>
        <v>2.2968289646750199E-7</v>
      </c>
      <c r="AI84" s="26">
        <f t="shared" si="15"/>
        <v>398353524.4446308</v>
      </c>
      <c r="AJ84" s="26">
        <f t="shared" si="16"/>
        <v>5.7323072167582332</v>
      </c>
    </row>
    <row r="85" spans="1:36" x14ac:dyDescent="0.2">
      <c r="B85" s="38">
        <v>3.2738</v>
      </c>
      <c r="C85" s="14">
        <f t="shared" si="10"/>
        <v>3.7762292403184899E-5</v>
      </c>
      <c r="D85" s="39">
        <v>-4.0962750000000003</v>
      </c>
      <c r="E85" s="15">
        <f t="shared" si="2"/>
        <v>5343.5953131546667</v>
      </c>
      <c r="F85" s="15">
        <f t="shared" si="11"/>
        <v>9.81618459026512E-5</v>
      </c>
      <c r="G85" s="16">
        <f t="shared" si="3"/>
        <v>1.8369999999999995E-8</v>
      </c>
      <c r="I85" s="1">
        <f t="shared" si="4"/>
        <v>3.7762292403184899E-5</v>
      </c>
      <c r="J85" s="1">
        <f t="shared" si="5"/>
        <v>5343.5953131546667</v>
      </c>
      <c r="K85" s="1">
        <f t="shared" si="6"/>
        <v>9.81618459026512E-5</v>
      </c>
      <c r="P85" s="38">
        <v>3.0287999999999999</v>
      </c>
      <c r="Q85" s="14">
        <f t="shared" si="7"/>
        <v>2.59878498366387E-6</v>
      </c>
      <c r="R85" s="37">
        <v>2.5028000000000001</v>
      </c>
      <c r="S85" s="15">
        <f t="shared" si="8"/>
        <v>2662424.1933980784</v>
      </c>
      <c r="T85" s="15">
        <f t="shared" si="9"/>
        <v>3.9803241691301318E-2</v>
      </c>
      <c r="U85" s="16">
        <f t="shared" si="12"/>
        <v>1.4950000000000018E-8</v>
      </c>
      <c r="Z85" s="21"/>
      <c r="AA85" s="38">
        <v>2.8306</v>
      </c>
      <c r="AB85" s="12">
        <f>X37</f>
        <v>1.53848095012074E-6</v>
      </c>
      <c r="AC85" s="13">
        <v>2.1800000000000002</v>
      </c>
      <c r="AD85" s="26">
        <f t="shared" si="13"/>
        <v>58782770.286436126</v>
      </c>
      <c r="AE85" s="26">
        <f t="shared" si="14"/>
        <v>1.2679443550784273</v>
      </c>
      <c r="AF85" s="27">
        <f>(AA86-AA85)*O$47</f>
        <v>2.1570000000000001E-8</v>
      </c>
      <c r="AG85" s="27"/>
      <c r="AH85" s="26">
        <f>Y37</f>
        <v>1.53848095012074E-6</v>
      </c>
      <c r="AI85" s="26">
        <f t="shared" si="15"/>
        <v>58782770.286436126</v>
      </c>
      <c r="AJ85" s="26">
        <f t="shared" si="16"/>
        <v>1.2679443550784273</v>
      </c>
    </row>
    <row r="86" spans="1:36" x14ac:dyDescent="0.2">
      <c r="B86" s="38">
        <v>3.4575</v>
      </c>
      <c r="C86" s="14">
        <f t="shared" si="10"/>
        <v>5.9451757226889398E-5</v>
      </c>
      <c r="D86" s="39">
        <v>-4.1251499999999997</v>
      </c>
      <c r="E86" s="15">
        <f t="shared" si="2"/>
        <v>3400.0514392905507</v>
      </c>
      <c r="F86" s="15">
        <f>E86*G86</f>
        <v>6.9089045246383926E-5</v>
      </c>
      <c r="G86" s="16">
        <f t="shared" si="3"/>
        <v>2.0319999999999983E-8</v>
      </c>
      <c r="I86" s="1">
        <f t="shared" si="4"/>
        <v>5.9451757226889398E-5</v>
      </c>
      <c r="J86" s="1">
        <f t="shared" si="5"/>
        <v>3400.0514392905507</v>
      </c>
      <c r="K86" s="1">
        <f t="shared" si="6"/>
        <v>6.9089045246383926E-5</v>
      </c>
      <c r="P86" s="38">
        <v>3.1783000000000001</v>
      </c>
      <c r="Q86" s="14">
        <f t="shared" si="7"/>
        <v>5.8798840739140404E-6</v>
      </c>
      <c r="R86" s="37">
        <v>2.2730999999999999</v>
      </c>
      <c r="S86" s="15">
        <f t="shared" si="8"/>
        <v>1076398.9236878403</v>
      </c>
      <c r="T86" s="15">
        <f t="shared" si="9"/>
        <v>1.4811249189944677E-2</v>
      </c>
      <c r="U86" s="16">
        <f t="shared" si="12"/>
        <v>1.3759999999999994E-8</v>
      </c>
      <c r="Z86" s="21"/>
      <c r="AA86" s="38">
        <v>3.0463</v>
      </c>
      <c r="AB86" s="12">
        <f>X38</f>
        <v>4.1190224903870101E-6</v>
      </c>
      <c r="AC86" s="13">
        <v>2.2999999999999998</v>
      </c>
      <c r="AD86" s="26">
        <f t="shared" si="13"/>
        <v>23002158.948927596</v>
      </c>
      <c r="AE86" s="26">
        <f t="shared" si="14"/>
        <v>0.47545462547433365</v>
      </c>
      <c r="AF86" s="27">
        <f>(AA87-AA86)*O$47</f>
        <v>2.0670000000000009E-8</v>
      </c>
      <c r="AG86" s="27"/>
      <c r="AH86" s="26">
        <f>Y38</f>
        <v>4.1190224903870101E-6</v>
      </c>
      <c r="AI86" s="26">
        <f t="shared" si="15"/>
        <v>23002158.948927596</v>
      </c>
      <c r="AJ86" s="26">
        <f t="shared" si="16"/>
        <v>0.47545462547433365</v>
      </c>
    </row>
    <row r="87" spans="1:36" x14ac:dyDescent="0.2">
      <c r="A87" s="13"/>
      <c r="B87" s="38">
        <v>3.6606999999999998</v>
      </c>
      <c r="C87" s="14">
        <f t="shared" si="10"/>
        <v>1.09453397898527E-4</v>
      </c>
      <c r="D87" s="39">
        <v>-4.1206499999999995</v>
      </c>
      <c r="E87" s="15">
        <f t="shared" si="2"/>
        <v>1860.4513404892321</v>
      </c>
      <c r="F87" s="15">
        <f>E87*G87</f>
        <v>4.2883403398276828E-5</v>
      </c>
      <c r="G87" s="16">
        <f t="shared" si="3"/>
        <v>2.3050000000000014E-8</v>
      </c>
      <c r="I87" s="1">
        <f t="shared" si="4"/>
        <v>1.09453397898527E-4</v>
      </c>
      <c r="J87" s="1">
        <f t="shared" si="5"/>
        <v>1860.4513404892321</v>
      </c>
      <c r="K87" s="1">
        <f t="shared" si="6"/>
        <v>4.2883403398276828E-5</v>
      </c>
      <c r="O87" s="13"/>
      <c r="P87" s="38">
        <v>3.3159000000000001</v>
      </c>
      <c r="Q87" s="14">
        <f t="shared" si="7"/>
        <v>7.9928343473422302E-6</v>
      </c>
      <c r="R87" s="37">
        <v>2.1844999999999999</v>
      </c>
      <c r="S87" s="15">
        <f t="shared" si="8"/>
        <v>765088.49270772899</v>
      </c>
      <c r="T87" s="15">
        <f t="shared" si="9"/>
        <v>1.2333226502448592E-2</v>
      </c>
      <c r="U87" s="16">
        <f t="shared" si="12"/>
        <v>1.6120000000000001E-8</v>
      </c>
      <c r="Z87" s="21"/>
      <c r="AA87" s="38">
        <v>3.2530000000000001</v>
      </c>
      <c r="AB87" s="12">
        <f>X39</f>
        <v>9.9045564658928506E-6</v>
      </c>
      <c r="AC87" s="13">
        <v>2.65</v>
      </c>
      <c r="AD87" s="26">
        <f t="shared" si="13"/>
        <v>10957322.767025106</v>
      </c>
      <c r="AE87" s="26">
        <f t="shared" si="14"/>
        <v>0.24391000479397873</v>
      </c>
      <c r="AF87" s="27">
        <f>(AA88-AA87)*O$47</f>
        <v>2.2259999999999989E-8</v>
      </c>
      <c r="AG87" s="27"/>
      <c r="AH87" s="26">
        <f>Y39</f>
        <v>9.9045564658928506E-6</v>
      </c>
      <c r="AI87" s="26">
        <f t="shared" si="15"/>
        <v>10957322.767025106</v>
      </c>
      <c r="AJ87" s="26">
        <f t="shared" si="16"/>
        <v>0.24391000479397873</v>
      </c>
    </row>
    <row r="88" spans="1:36" x14ac:dyDescent="0.2">
      <c r="A88" s="13"/>
      <c r="B88" s="38">
        <v>3.8912</v>
      </c>
      <c r="C88" s="14">
        <f t="shared" si="10"/>
        <v>3.7840335924271601E-4</v>
      </c>
      <c r="D88" s="39">
        <v>-4.1016750000000002</v>
      </c>
      <c r="E88" s="15">
        <f t="shared" si="2"/>
        <v>531.97103309208217</v>
      </c>
      <c r="F88" s="15">
        <f>E88*G88</f>
        <v>1.0974562412689662E-5</v>
      </c>
      <c r="G88" s="16">
        <f t="shared" si="3"/>
        <v>2.0630000000000013E-8</v>
      </c>
      <c r="I88" s="1">
        <f t="shared" si="4"/>
        <v>3.7840335924271601E-4</v>
      </c>
      <c r="J88" s="1">
        <f t="shared" si="5"/>
        <v>531.97103309208217</v>
      </c>
      <c r="K88" s="1">
        <f t="shared" si="6"/>
        <v>1.0974562412689662E-5</v>
      </c>
      <c r="O88" s="13"/>
      <c r="P88" s="38">
        <v>3.4771000000000001</v>
      </c>
      <c r="Q88" s="14">
        <f t="shared" si="7"/>
        <v>1.33318112827008E-5</v>
      </c>
      <c r="R88" s="37">
        <v>2.1993</v>
      </c>
      <c r="S88" s="15">
        <f t="shared" si="8"/>
        <v>461335.84274903184</v>
      </c>
      <c r="T88" s="15">
        <f t="shared" si="9"/>
        <v>8.885328331346358E-3</v>
      </c>
      <c r="U88" s="16">
        <f>(P89-P88)*O$47</f>
        <v>1.9260000000000008E-8</v>
      </c>
      <c r="Z88" s="13"/>
      <c r="AA88" s="38">
        <v>3.4756</v>
      </c>
      <c r="AB88" s="12">
        <f>X40</f>
        <v>1.9971158148184699E-5</v>
      </c>
      <c r="AC88" s="13">
        <v>2.94</v>
      </c>
      <c r="AD88" s="26">
        <f t="shared" si="13"/>
        <v>6081387.3203515541</v>
      </c>
      <c r="AE88" s="26">
        <f t="shared" si="14"/>
        <v>0.11457333711542335</v>
      </c>
      <c r="AF88" s="27">
        <f>(AA89-AA88)*O$47</f>
        <v>1.8840000000000012E-8</v>
      </c>
      <c r="AG88" s="27"/>
      <c r="AH88" s="26">
        <f>Y40</f>
        <v>1.9971158148184699E-5</v>
      </c>
      <c r="AI88" s="26">
        <f t="shared" si="15"/>
        <v>6081387.3203515541</v>
      </c>
      <c r="AJ88" s="26">
        <f t="shared" si="16"/>
        <v>0.11457333711542335</v>
      </c>
    </row>
    <row r="89" spans="1:36" x14ac:dyDescent="0.2">
      <c r="B89" s="38">
        <v>4.0975000000000001</v>
      </c>
      <c r="C89" s="14">
        <f t="shared" si="10"/>
        <v>5.5193099952801901E-4</v>
      </c>
      <c r="D89" s="40">
        <v>-4.1313750000000002</v>
      </c>
      <c r="E89" s="15">
        <f t="shared" si="2"/>
        <v>1811.8206820329804</v>
      </c>
      <c r="F89" s="15">
        <f>E89*G89</f>
        <v>3.7377860670340408E-5</v>
      </c>
      <c r="G89" s="16">
        <f>G88</f>
        <v>2.0630000000000013E-8</v>
      </c>
      <c r="I89" s="1">
        <f t="shared" si="4"/>
        <v>5.5193099952801901E-4</v>
      </c>
      <c r="J89" s="1">
        <f t="shared" si="5"/>
        <v>1811.8206820329804</v>
      </c>
      <c r="K89" s="1">
        <f t="shared" si="6"/>
        <v>3.7377860670340408E-5</v>
      </c>
      <c r="P89" s="38">
        <v>3.6697000000000002</v>
      </c>
      <c r="Q89" s="14">
        <f>O42</f>
        <v>1.8303554595662401E-5</v>
      </c>
      <c r="R89" s="37">
        <v>2.1945999999999999</v>
      </c>
      <c r="S89" s="15">
        <f t="shared" si="8"/>
        <v>335412.26780815172</v>
      </c>
      <c r="T89" s="15">
        <f>S89*U89</f>
        <v>6.460040277985005E-3</v>
      </c>
      <c r="U89" s="16">
        <f>U88</f>
        <v>1.9260000000000008E-8</v>
      </c>
      <c r="Z89" s="13"/>
      <c r="AA89" s="38">
        <v>3.6640000000000001</v>
      </c>
      <c r="AB89" s="12">
        <f>X41</f>
        <v>6.1416399619061701E-5</v>
      </c>
      <c r="AC89" s="13">
        <v>3.05</v>
      </c>
      <c r="AD89" s="26">
        <f t="shared" si="13"/>
        <v>2063750.0809982754</v>
      </c>
      <c r="AE89" s="26">
        <f t="shared" si="14"/>
        <v>4.4845289260092486E-2</v>
      </c>
      <c r="AF89" s="27">
        <f>(AA90-AA89)*O$47</f>
        <v>2.172999999999998E-8</v>
      </c>
      <c r="AG89" s="27"/>
      <c r="AH89" s="26">
        <f>Y41</f>
        <v>6.1416399619061701E-5</v>
      </c>
      <c r="AI89" s="26">
        <f t="shared" si="15"/>
        <v>2063750.0809982754</v>
      </c>
      <c r="AJ89" s="26">
        <f t="shared" si="16"/>
        <v>4.4845289260092486E-2</v>
      </c>
    </row>
    <row r="90" spans="1:36" x14ac:dyDescent="0.2">
      <c r="B90" s="13"/>
      <c r="C90" s="14"/>
      <c r="E90" s="6" t="s">
        <v>3</v>
      </c>
      <c r="F90" s="7">
        <f>SUM(F51:F89)</f>
        <v>64.336976606236732</v>
      </c>
      <c r="J90" s="6" t="s">
        <v>3</v>
      </c>
      <c r="K90" s="7">
        <f>SUM(K51:K89)</f>
        <v>64.336976606236732</v>
      </c>
      <c r="P90" s="13"/>
      <c r="Q90" s="14"/>
      <c r="S90" s="15"/>
      <c r="T90" s="15"/>
      <c r="Z90" s="21"/>
      <c r="AA90" s="38">
        <v>3.8813</v>
      </c>
      <c r="AB90" s="12">
        <f>X42</f>
        <v>2.5355971957646898E-5</v>
      </c>
      <c r="AC90" s="13">
        <v>3.06</v>
      </c>
      <c r="AD90" s="26">
        <f t="shared" si="13"/>
        <v>5018180.09229415</v>
      </c>
      <c r="AE90" s="26">
        <f t="shared" si="14"/>
        <v>8.8018878818839491E-2</v>
      </c>
      <c r="AF90" s="27">
        <f>(AA91-AA90)*O$47</f>
        <v>1.754000000000002E-8</v>
      </c>
      <c r="AG90" s="27"/>
      <c r="AH90" s="26">
        <f>Y42</f>
        <v>2.5355971957646898E-5</v>
      </c>
      <c r="AI90" s="26">
        <f t="shared" si="15"/>
        <v>5018180.09229415</v>
      </c>
      <c r="AJ90" s="26">
        <f t="shared" si="16"/>
        <v>8.8018878818839491E-2</v>
      </c>
    </row>
    <row r="91" spans="1:36" x14ac:dyDescent="0.2">
      <c r="E91" s="8"/>
      <c r="F91" s="7"/>
      <c r="J91" s="8"/>
      <c r="K91" s="7"/>
      <c r="S91" s="6" t="s">
        <v>3</v>
      </c>
      <c r="T91" s="7">
        <f>SUM(T51:T89)</f>
        <v>1646.262512533327</v>
      </c>
      <c r="Z91" s="21"/>
      <c r="AA91" s="38">
        <v>4.0567000000000002</v>
      </c>
      <c r="AB91" s="12">
        <f>X43</f>
        <v>2.59797414858114E-5</v>
      </c>
      <c r="AC91" s="13">
        <v>3.08</v>
      </c>
      <c r="AD91" s="26">
        <f t="shared" si="13"/>
        <v>4935848.0243136939</v>
      </c>
      <c r="AE91" s="26">
        <f t="shared" si="14"/>
        <v>0</v>
      </c>
      <c r="AF91" s="27">
        <f>(AA91-AA91)*O$47</f>
        <v>0</v>
      </c>
      <c r="AG91" s="27"/>
      <c r="AH91" s="26">
        <f>Y43</f>
        <v>2.59797414858114E-5</v>
      </c>
      <c r="AI91" s="26">
        <f t="shared" si="15"/>
        <v>4935848.0243136939</v>
      </c>
      <c r="AJ91" s="26">
        <f>AF91*AI91</f>
        <v>0</v>
      </c>
    </row>
    <row r="92" spans="1:36" x14ac:dyDescent="0.2">
      <c r="E92" s="8" t="s">
        <v>4</v>
      </c>
      <c r="F92" s="6">
        <f>1/F90</f>
        <v>1.5543161223138072E-2</v>
      </c>
      <c r="J92" s="8" t="s">
        <v>4</v>
      </c>
      <c r="K92" s="6">
        <f>1/K90</f>
        <v>1.5543161223138072E-2</v>
      </c>
      <c r="S92" s="8"/>
      <c r="T92" s="7"/>
      <c r="Z92" s="21"/>
      <c r="AA92" s="21"/>
      <c r="AB92" s="21"/>
      <c r="AC92" s="21"/>
      <c r="AD92" s="6" t="s">
        <v>3</v>
      </c>
      <c r="AE92" s="28">
        <f>SUM(AE52:AE91)</f>
        <v>88163.286585397465</v>
      </c>
      <c r="AI92" s="6" t="s">
        <v>3</v>
      </c>
      <c r="AJ92" s="36">
        <f>SUM(AJ52:AJ91)</f>
        <v>88163.583982673823</v>
      </c>
    </row>
    <row r="93" spans="1:36" x14ac:dyDescent="0.2">
      <c r="S93" s="8" t="s">
        <v>4</v>
      </c>
      <c r="T93" s="6">
        <f>1/T91</f>
        <v>6.0743653723923079E-4</v>
      </c>
      <c r="Z93" s="21"/>
      <c r="AA93" s="21"/>
      <c r="AB93" s="21"/>
      <c r="AC93" s="21"/>
      <c r="AD93" s="8"/>
      <c r="AE93" s="7"/>
      <c r="AI93" s="8"/>
      <c r="AJ93" s="7"/>
    </row>
    <row r="94" spans="1:36" x14ac:dyDescent="0.2">
      <c r="AA94" s="21"/>
      <c r="AB94" s="21"/>
      <c r="AC94" s="21"/>
      <c r="AD94" s="8" t="s">
        <v>4</v>
      </c>
      <c r="AE94" s="6">
        <f>1/AE92</f>
        <v>1.1342589854920751E-5</v>
      </c>
      <c r="AI94" s="8" t="s">
        <v>4</v>
      </c>
      <c r="AJ94" s="6">
        <f>1/AJ92</f>
        <v>1.1342551593598135E-5</v>
      </c>
    </row>
    <row r="100" spans="1:1" x14ac:dyDescent="0.2">
      <c r="A100" t="s">
        <v>34</v>
      </c>
    </row>
    <row r="101" spans="1:1" x14ac:dyDescent="0.2">
      <c r="A101" s="50" t="s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593790-6B54-014C-8E99-FA897429DE0A}">
  <dimension ref="B2:M147"/>
  <sheetViews>
    <sheetView topLeftCell="A109" workbookViewId="0">
      <selection activeCell="H133" sqref="H133"/>
    </sheetView>
  </sheetViews>
  <sheetFormatPr baseColWidth="10" defaultRowHeight="16" x14ac:dyDescent="0.2"/>
  <sheetData>
    <row r="2" spans="2:13" x14ac:dyDescent="0.2">
      <c r="B2" s="31" t="s">
        <v>9</v>
      </c>
    </row>
    <row r="3" spans="2:13" x14ac:dyDescent="0.2">
      <c r="B3" t="s">
        <v>19</v>
      </c>
    </row>
    <row r="4" spans="2:13" x14ac:dyDescent="0.2">
      <c r="D4">
        <v>350</v>
      </c>
      <c r="E4">
        <v>400</v>
      </c>
      <c r="F4">
        <v>450</v>
      </c>
      <c r="G4">
        <v>500</v>
      </c>
      <c r="I4" s="31" t="s">
        <v>18</v>
      </c>
      <c r="J4" s="31" t="s">
        <v>20</v>
      </c>
      <c r="K4" s="31" t="s">
        <v>21</v>
      </c>
      <c r="M4" s="5" t="s">
        <v>23</v>
      </c>
    </row>
    <row r="5" spans="2:13" x14ac:dyDescent="0.2">
      <c r="C5" s="13"/>
      <c r="D5" s="13">
        <v>0</v>
      </c>
      <c r="E5" s="13">
        <v>0</v>
      </c>
      <c r="F5" s="13">
        <v>0</v>
      </c>
      <c r="G5" s="13">
        <v>0</v>
      </c>
      <c r="H5" s="32"/>
      <c r="I5" s="33">
        <v>-3.6450999999999998</v>
      </c>
      <c r="J5" s="34">
        <f>AVERAGE(D5:G5)</f>
        <v>0</v>
      </c>
      <c r="K5" s="34">
        <f>STDEV(F5:G5)</f>
        <v>0</v>
      </c>
      <c r="M5" s="30">
        <f>ABS(J14-J25)</f>
        <v>31.861525</v>
      </c>
    </row>
    <row r="6" spans="2:13" x14ac:dyDescent="0.2">
      <c r="C6" s="13"/>
      <c r="D6" s="13">
        <v>-3.7941999999999997E-2</v>
      </c>
      <c r="E6" s="13">
        <v>-9.0736999999999998E-2</v>
      </c>
      <c r="F6" s="13">
        <v>-9.1493000000000005E-2</v>
      </c>
      <c r="G6" s="13">
        <v>-0.12625</v>
      </c>
      <c r="H6" s="32"/>
      <c r="I6" s="33">
        <v>-3.4380000000000002</v>
      </c>
      <c r="J6" s="34">
        <f t="shared" ref="J6:J44" si="0">AVERAGE(D6:G6)</f>
        <v>-8.6605500000000002E-2</v>
      </c>
      <c r="K6" s="34">
        <f t="shared" ref="K6:K44" si="1">STDEV(F6:G6)</f>
        <v>2.4576910393700774E-2</v>
      </c>
    </row>
    <row r="7" spans="2:13" x14ac:dyDescent="0.2">
      <c r="C7" s="13"/>
      <c r="D7" s="13">
        <v>-0.33948</v>
      </c>
      <c r="E7" s="13">
        <v>-0.41419</v>
      </c>
      <c r="F7" s="13">
        <v>-0.38236999999999999</v>
      </c>
      <c r="G7" s="13">
        <v>-0.42404999999999998</v>
      </c>
      <c r="H7" s="32"/>
      <c r="I7" s="33">
        <v>-3.2467000000000001</v>
      </c>
      <c r="J7" s="34">
        <f t="shared" si="0"/>
        <v>-0.39002249999999999</v>
      </c>
      <c r="K7" s="34">
        <f t="shared" si="1"/>
        <v>2.9472210639855296E-2</v>
      </c>
    </row>
    <row r="8" spans="2:13" x14ac:dyDescent="0.2">
      <c r="C8" s="13"/>
      <c r="D8" s="13">
        <v>-1.0263</v>
      </c>
      <c r="E8" s="13">
        <v>-1.0032000000000001</v>
      </c>
      <c r="F8" s="13">
        <v>-0.86236000000000002</v>
      </c>
      <c r="G8" s="13">
        <v>-0.86943999999999999</v>
      </c>
      <c r="H8" s="32"/>
      <c r="I8" s="33">
        <v>-3.0255999999999998</v>
      </c>
      <c r="J8" s="34">
        <f t="shared" si="0"/>
        <v>-0.94032500000000008</v>
      </c>
      <c r="K8" s="34">
        <f t="shared" si="1"/>
        <v>5.006316010800739E-3</v>
      </c>
    </row>
    <row r="9" spans="2:13" x14ac:dyDescent="0.2">
      <c r="C9" s="13"/>
      <c r="D9" s="13">
        <v>-1.6282000000000001</v>
      </c>
      <c r="E9" s="13">
        <v>-1.3535999999999999</v>
      </c>
      <c r="F9" s="13">
        <v>-1.0118</v>
      </c>
      <c r="G9" s="13">
        <v>-0.94786999999999999</v>
      </c>
      <c r="H9" s="32"/>
      <c r="I9" s="33">
        <v>-2.8485</v>
      </c>
      <c r="J9" s="34">
        <f t="shared" si="0"/>
        <v>-1.2353675</v>
      </c>
      <c r="K9" s="34">
        <f t="shared" si="1"/>
        <v>4.5205336521256016E-2</v>
      </c>
    </row>
    <row r="10" spans="2:13" x14ac:dyDescent="0.2">
      <c r="C10" s="13"/>
      <c r="D10" s="13">
        <v>-2.6334</v>
      </c>
      <c r="E10" s="13">
        <v>-1.9145000000000001</v>
      </c>
      <c r="F10" s="13">
        <v>-1.4138999999999999</v>
      </c>
      <c r="G10" s="13">
        <v>-1.2941</v>
      </c>
      <c r="H10" s="32"/>
      <c r="I10" s="33">
        <v>-2.6375999999999999</v>
      </c>
      <c r="J10" s="34">
        <f t="shared" si="0"/>
        <v>-1.8139750000000001</v>
      </c>
      <c r="K10" s="34">
        <f t="shared" si="1"/>
        <v>8.4711392386148332E-2</v>
      </c>
    </row>
    <row r="11" spans="2:13" x14ac:dyDescent="0.2">
      <c r="C11" s="13"/>
      <c r="D11" s="13">
        <v>-3.9335</v>
      </c>
      <c r="E11" s="13">
        <v>-3.0709</v>
      </c>
      <c r="F11" s="13">
        <v>-2.9807000000000001</v>
      </c>
      <c r="G11" s="13">
        <v>-2.9455</v>
      </c>
      <c r="H11" s="32"/>
      <c r="I11" s="33">
        <v>-2.4365000000000001</v>
      </c>
      <c r="J11" s="34">
        <f t="shared" si="0"/>
        <v>-3.2326500000000005</v>
      </c>
      <c r="K11" s="34">
        <f t="shared" si="1"/>
        <v>2.4890158697766559E-2</v>
      </c>
    </row>
    <row r="12" spans="2:13" x14ac:dyDescent="0.2">
      <c r="C12" s="13"/>
      <c r="D12" s="13">
        <v>-5.7846000000000002</v>
      </c>
      <c r="E12" s="13">
        <v>-4.8956</v>
      </c>
      <c r="F12" s="13">
        <v>-5.0529999999999999</v>
      </c>
      <c r="G12" s="13">
        <v>-5.0602</v>
      </c>
      <c r="H12" s="32"/>
      <c r="I12" s="33">
        <v>-2.2627000000000002</v>
      </c>
      <c r="J12" s="34">
        <f t="shared" si="0"/>
        <v>-5.1983499999999996</v>
      </c>
      <c r="K12" s="34">
        <f t="shared" si="1"/>
        <v>5.0911688245432098E-3</v>
      </c>
    </row>
    <row r="13" spans="2:13" x14ac:dyDescent="0.2">
      <c r="C13" s="13"/>
      <c r="D13" s="13">
        <v>-8.5550999999999995</v>
      </c>
      <c r="E13" s="13">
        <v>-6.7392000000000003</v>
      </c>
      <c r="F13" s="13">
        <v>-7.4565000000000001</v>
      </c>
      <c r="G13" s="13">
        <v>-7.7714999999999996</v>
      </c>
      <c r="H13" s="32"/>
      <c r="I13" s="33">
        <v>-2.1029</v>
      </c>
      <c r="J13" s="34">
        <f t="shared" si="0"/>
        <v>-7.6305749999999994</v>
      </c>
      <c r="K13" s="34">
        <f t="shared" si="1"/>
        <v>0.22273863607376213</v>
      </c>
    </row>
    <row r="14" spans="2:13" x14ac:dyDescent="0.2">
      <c r="C14" s="13"/>
      <c r="D14" s="13">
        <v>-10.808</v>
      </c>
      <c r="E14" s="13">
        <v>-7.6470000000000002</v>
      </c>
      <c r="F14" s="13">
        <v>-9.4206000000000003</v>
      </c>
      <c r="G14" s="13">
        <v>-9.8614999999999995</v>
      </c>
      <c r="H14" s="32"/>
      <c r="I14" s="33">
        <v>-1.8809</v>
      </c>
      <c r="J14" s="34">
        <f t="shared" si="0"/>
        <v>-9.4342749999999995</v>
      </c>
      <c r="K14" s="34">
        <f t="shared" si="1"/>
        <v>0.31176337982514823</v>
      </c>
    </row>
    <row r="15" spans="2:13" x14ac:dyDescent="0.2">
      <c r="C15" s="13"/>
      <c r="D15" s="13">
        <v>-9.7134</v>
      </c>
      <c r="E15" s="13">
        <v>-6.3776999999999999</v>
      </c>
      <c r="F15" s="13">
        <v>-8.4954000000000001</v>
      </c>
      <c r="G15" s="13">
        <v>-8.6410999999999998</v>
      </c>
      <c r="H15" s="32"/>
      <c r="I15" s="33">
        <v>-1.6931</v>
      </c>
      <c r="J15" s="34">
        <f t="shared" si="0"/>
        <v>-8.3069000000000006</v>
      </c>
      <c r="K15" s="34">
        <f t="shared" si="1"/>
        <v>0.10302545801887977</v>
      </c>
    </row>
    <row r="16" spans="2:13" x14ac:dyDescent="0.2">
      <c r="C16" s="13"/>
      <c r="D16" s="13">
        <v>-6.3552</v>
      </c>
      <c r="E16" s="13">
        <v>-2.8809999999999998</v>
      </c>
      <c r="F16" s="13">
        <v>-5.2625000000000002</v>
      </c>
      <c r="G16" s="13">
        <v>-5.6689999999999996</v>
      </c>
      <c r="H16" s="32"/>
      <c r="I16" s="33">
        <v>-1.4954000000000001</v>
      </c>
      <c r="J16" s="34">
        <f t="shared" si="0"/>
        <v>-5.041925</v>
      </c>
      <c r="K16" s="34">
        <f t="shared" si="1"/>
        <v>0.28743890655233117</v>
      </c>
    </row>
    <row r="17" spans="3:11" x14ac:dyDescent="0.2">
      <c r="C17" s="13"/>
      <c r="D17" s="13">
        <v>-1.2927999999999999</v>
      </c>
      <c r="E17" s="13">
        <v>1.6576</v>
      </c>
      <c r="F17" s="13">
        <v>-0.68103000000000002</v>
      </c>
      <c r="G17" s="13">
        <v>-1.6514</v>
      </c>
      <c r="H17" s="32"/>
      <c r="I17" s="33">
        <v>-1.3192999999999999</v>
      </c>
      <c r="J17" s="34">
        <f t="shared" si="0"/>
        <v>-0.4919075</v>
      </c>
      <c r="K17" s="34">
        <f t="shared" si="1"/>
        <v>0.68615520725998991</v>
      </c>
    </row>
    <row r="18" spans="3:11" x14ac:dyDescent="0.2">
      <c r="C18" s="13"/>
      <c r="D18" s="13">
        <v>4.8411</v>
      </c>
      <c r="E18" s="13">
        <v>7.1555999999999997</v>
      </c>
      <c r="F18" s="13">
        <v>4.9240000000000004</v>
      </c>
      <c r="G18" s="13">
        <v>3.6463999999999999</v>
      </c>
      <c r="H18" s="32"/>
      <c r="I18" s="33">
        <v>-1.1377999999999999</v>
      </c>
      <c r="J18" s="34">
        <f t="shared" si="0"/>
        <v>5.141775</v>
      </c>
      <c r="K18" s="34">
        <f t="shared" si="1"/>
        <v>0.90339962364393867</v>
      </c>
    </row>
    <row r="19" spans="3:11" x14ac:dyDescent="0.2">
      <c r="C19" s="13"/>
      <c r="D19" s="13">
        <v>12.432</v>
      </c>
      <c r="E19" s="13">
        <v>15.339</v>
      </c>
      <c r="F19" s="13">
        <v>12.955</v>
      </c>
      <c r="G19" s="13">
        <v>11.387</v>
      </c>
      <c r="H19" s="32"/>
      <c r="I19" s="33">
        <v>-0.91047999999999996</v>
      </c>
      <c r="J19" s="34">
        <f t="shared" si="0"/>
        <v>13.02825</v>
      </c>
      <c r="K19" s="34">
        <f t="shared" si="1"/>
        <v>1.1087434329005061</v>
      </c>
    </row>
    <row r="20" spans="3:11" x14ac:dyDescent="0.2">
      <c r="C20" s="13"/>
      <c r="D20" s="13">
        <v>16.795000000000002</v>
      </c>
      <c r="E20" s="13">
        <v>19.946000000000002</v>
      </c>
      <c r="F20" s="13">
        <v>17.239000000000001</v>
      </c>
      <c r="G20" s="13">
        <v>15.231999999999999</v>
      </c>
      <c r="H20" s="32"/>
      <c r="I20" s="33">
        <v>-0.80139000000000005</v>
      </c>
      <c r="J20" s="34">
        <f t="shared" si="0"/>
        <v>17.303000000000001</v>
      </c>
      <c r="K20" s="34">
        <f t="shared" si="1"/>
        <v>1.4191633098414018</v>
      </c>
    </row>
    <row r="21" spans="3:11" x14ac:dyDescent="0.2">
      <c r="C21" s="13"/>
      <c r="D21" s="13">
        <v>21.689</v>
      </c>
      <c r="E21" s="13">
        <v>24.887</v>
      </c>
      <c r="F21" s="13">
        <v>21.725000000000001</v>
      </c>
      <c r="G21" s="13">
        <v>19.143000000000001</v>
      </c>
      <c r="H21" s="32"/>
      <c r="I21" s="33">
        <v>-0.61355000000000004</v>
      </c>
      <c r="J21" s="34">
        <f t="shared" si="0"/>
        <v>21.861000000000001</v>
      </c>
      <c r="K21" s="34">
        <f t="shared" si="1"/>
        <v>1.8257497090236663</v>
      </c>
    </row>
    <row r="22" spans="3:11" x14ac:dyDescent="0.2">
      <c r="C22" s="13"/>
      <c r="D22" s="13">
        <v>21.91</v>
      </c>
      <c r="E22" s="13">
        <v>25.402000000000001</v>
      </c>
      <c r="F22" s="13">
        <v>22.478999999999999</v>
      </c>
      <c r="G22" s="13">
        <v>20.013000000000002</v>
      </c>
      <c r="H22" s="32"/>
      <c r="I22" s="33">
        <v>-0.41436000000000001</v>
      </c>
      <c r="J22" s="34">
        <f t="shared" si="0"/>
        <v>22.451000000000001</v>
      </c>
      <c r="K22" s="34">
        <f t="shared" si="1"/>
        <v>1.7437253224060245</v>
      </c>
    </row>
    <row r="23" spans="3:11" x14ac:dyDescent="0.2">
      <c r="C23" s="13"/>
      <c r="D23" s="13">
        <v>21.608000000000001</v>
      </c>
      <c r="E23" s="13">
        <v>25.283000000000001</v>
      </c>
      <c r="F23" s="13">
        <v>22.600999999999999</v>
      </c>
      <c r="G23" s="13">
        <v>20.225999999999999</v>
      </c>
      <c r="H23" s="32"/>
      <c r="I23" s="33">
        <v>-0.21526000000000001</v>
      </c>
      <c r="J23" s="34">
        <f t="shared" si="0"/>
        <v>22.429500000000001</v>
      </c>
      <c r="K23" s="34">
        <f t="shared" si="1"/>
        <v>1.6793786053180504</v>
      </c>
    </row>
    <row r="24" spans="3:11" x14ac:dyDescent="0.2">
      <c r="C24" s="13"/>
      <c r="D24" s="13">
        <v>21.742000000000001</v>
      </c>
      <c r="E24" s="13">
        <v>25.51</v>
      </c>
      <c r="F24" s="13">
        <v>22.786000000000001</v>
      </c>
      <c r="G24" s="13">
        <v>20.375</v>
      </c>
      <c r="H24" s="32"/>
      <c r="I24" s="33">
        <v>-8.1311999999999995E-2</v>
      </c>
      <c r="J24" s="34">
        <f t="shared" si="0"/>
        <v>22.603250000000003</v>
      </c>
      <c r="K24" s="34">
        <f t="shared" si="1"/>
        <v>1.704834449440767</v>
      </c>
    </row>
    <row r="25" spans="3:11" x14ac:dyDescent="0.2">
      <c r="C25" s="13"/>
      <c r="D25" s="13">
        <v>21.5</v>
      </c>
      <c r="E25" s="13">
        <v>25.442</v>
      </c>
      <c r="F25" s="13">
        <v>22.552</v>
      </c>
      <c r="G25" s="13">
        <v>20.215</v>
      </c>
      <c r="H25" s="32"/>
      <c r="I25" s="33">
        <v>0.12622</v>
      </c>
      <c r="J25" s="34">
        <f t="shared" si="0"/>
        <v>22.427250000000001</v>
      </c>
      <c r="K25" s="34">
        <f t="shared" si="1"/>
        <v>1.6525085476329615</v>
      </c>
    </row>
    <row r="26" spans="3:11" x14ac:dyDescent="0.2">
      <c r="C26" s="13"/>
      <c r="D26" s="13">
        <v>21.088999999999999</v>
      </c>
      <c r="E26" s="13">
        <v>25.111000000000001</v>
      </c>
      <c r="F26" s="13">
        <v>22.184000000000001</v>
      </c>
      <c r="G26" s="13">
        <v>19.856000000000002</v>
      </c>
      <c r="H26" s="32"/>
      <c r="I26" s="33">
        <v>0.34420000000000001</v>
      </c>
      <c r="J26" s="34">
        <f t="shared" si="0"/>
        <v>22.060000000000002</v>
      </c>
      <c r="K26" s="34">
        <f t="shared" si="1"/>
        <v>1.6461445866022821</v>
      </c>
    </row>
    <row r="27" spans="3:11" x14ac:dyDescent="0.2">
      <c r="C27" s="13"/>
      <c r="D27" s="13">
        <v>19.39</v>
      </c>
      <c r="E27" s="13">
        <v>24.469000000000001</v>
      </c>
      <c r="F27" s="13">
        <v>21.728000000000002</v>
      </c>
      <c r="G27" s="13">
        <v>19.298999999999999</v>
      </c>
      <c r="H27" s="32"/>
      <c r="I27" s="33">
        <v>0.59104999999999996</v>
      </c>
      <c r="J27" s="34">
        <f t="shared" si="0"/>
        <v>21.221499999999999</v>
      </c>
      <c r="K27" s="34">
        <f t="shared" si="1"/>
        <v>1.7175623715021253</v>
      </c>
    </row>
    <row r="28" spans="3:11" x14ac:dyDescent="0.2">
      <c r="C28" s="13"/>
      <c r="D28" s="13">
        <v>13.507</v>
      </c>
      <c r="E28" s="13">
        <v>19.888999999999999</v>
      </c>
      <c r="F28" s="13">
        <v>17.600000000000001</v>
      </c>
      <c r="G28" s="13">
        <v>15.488</v>
      </c>
      <c r="H28" s="32"/>
      <c r="I28" s="33">
        <v>0.80127000000000004</v>
      </c>
      <c r="J28" s="34">
        <f t="shared" si="0"/>
        <v>16.621000000000002</v>
      </c>
      <c r="K28" s="34">
        <f t="shared" si="1"/>
        <v>1.4934095218659897</v>
      </c>
    </row>
    <row r="29" spans="3:11" x14ac:dyDescent="0.2">
      <c r="C29" s="13"/>
      <c r="D29" s="13">
        <v>6.1467000000000001</v>
      </c>
      <c r="E29" s="13">
        <v>12.834</v>
      </c>
      <c r="F29" s="13">
        <v>10.478999999999999</v>
      </c>
      <c r="G29" s="13">
        <v>8.3798999999999992</v>
      </c>
      <c r="H29" s="32"/>
      <c r="I29" s="33">
        <v>1.0061</v>
      </c>
      <c r="J29" s="34">
        <f t="shared" si="0"/>
        <v>9.4598999999999993</v>
      </c>
      <c r="K29" s="34">
        <f t="shared" si="1"/>
        <v>1.4842878443886784</v>
      </c>
    </row>
    <row r="30" spans="3:11" x14ac:dyDescent="0.2">
      <c r="C30" s="13"/>
      <c r="D30" s="13">
        <v>1.274</v>
      </c>
      <c r="E30" s="13">
        <v>6.7538</v>
      </c>
      <c r="F30" s="13">
        <v>3.59</v>
      </c>
      <c r="G30" s="13">
        <v>1.1041000000000001</v>
      </c>
      <c r="H30" s="32"/>
      <c r="I30" s="33">
        <v>1.2611000000000001</v>
      </c>
      <c r="J30" s="34">
        <f t="shared" si="0"/>
        <v>3.1804749999999999</v>
      </c>
      <c r="K30" s="34">
        <f t="shared" si="1"/>
        <v>1.7577967473516387</v>
      </c>
    </row>
    <row r="31" spans="3:11" x14ac:dyDescent="0.2">
      <c r="C31" s="13"/>
      <c r="D31" s="13">
        <v>-0.39731</v>
      </c>
      <c r="E31" s="13">
        <v>4.4259000000000004</v>
      </c>
      <c r="F31" s="13">
        <v>0.58043</v>
      </c>
      <c r="G31" s="13">
        <v>-2.1044</v>
      </c>
      <c r="H31" s="32"/>
      <c r="I31" s="33">
        <v>1.4239999999999999</v>
      </c>
      <c r="J31" s="34">
        <f t="shared" si="0"/>
        <v>0.62615500000000002</v>
      </c>
      <c r="K31" s="34">
        <f t="shared" si="1"/>
        <v>1.8984614993330786</v>
      </c>
    </row>
    <row r="32" spans="3:11" x14ac:dyDescent="0.2">
      <c r="C32" s="13"/>
      <c r="D32" s="13">
        <v>-2.4194</v>
      </c>
      <c r="E32" s="13">
        <v>1.8379000000000001</v>
      </c>
      <c r="F32" s="13">
        <v>-2.5459000000000001</v>
      </c>
      <c r="G32" s="13">
        <v>-5.6062000000000003</v>
      </c>
      <c r="H32" s="32"/>
      <c r="I32" s="33">
        <v>1.6345000000000001</v>
      </c>
      <c r="J32" s="34">
        <f t="shared" si="0"/>
        <v>-2.1833999999999998</v>
      </c>
      <c r="K32" s="34">
        <f t="shared" si="1"/>
        <v>2.1639588824651916</v>
      </c>
    </row>
    <row r="33" spans="3:11" x14ac:dyDescent="0.2">
      <c r="C33" s="13"/>
      <c r="D33" s="13">
        <v>-4.7907000000000002</v>
      </c>
      <c r="E33" s="13">
        <v>-0.82730999999999999</v>
      </c>
      <c r="F33" s="13">
        <v>-5.0598000000000001</v>
      </c>
      <c r="G33" s="13">
        <v>-8.3376000000000001</v>
      </c>
      <c r="H33" s="32"/>
      <c r="I33" s="33">
        <v>1.8291999999999999</v>
      </c>
      <c r="J33" s="34">
        <f t="shared" si="0"/>
        <v>-4.7538525000000007</v>
      </c>
      <c r="K33" s="34">
        <f t="shared" si="1"/>
        <v>2.3177546073732622</v>
      </c>
    </row>
    <row r="34" spans="3:11" x14ac:dyDescent="0.2">
      <c r="C34" s="13"/>
      <c r="D34" s="13">
        <v>-5.8788</v>
      </c>
      <c r="E34" s="13">
        <v>-1.4595</v>
      </c>
      <c r="F34" s="13">
        <v>-5.7835999999999999</v>
      </c>
      <c r="G34" s="13">
        <v>-9.0227000000000004</v>
      </c>
      <c r="H34" s="32"/>
      <c r="I34" s="33">
        <v>2.0093999999999999</v>
      </c>
      <c r="J34" s="34">
        <f t="shared" si="0"/>
        <v>-5.5361500000000001</v>
      </c>
      <c r="K34" s="34">
        <f t="shared" si="1"/>
        <v>2.2903895749413459</v>
      </c>
    </row>
    <row r="35" spans="3:11" x14ac:dyDescent="0.2">
      <c r="C35" s="13"/>
      <c r="D35" s="13">
        <v>-4.2323000000000004</v>
      </c>
      <c r="E35" s="13">
        <v>1.0810999999999999</v>
      </c>
      <c r="F35" s="13">
        <v>-3.4039999999999999</v>
      </c>
      <c r="G35" s="13">
        <v>-6.7911999999999999</v>
      </c>
      <c r="H35" s="32"/>
      <c r="I35" s="33">
        <v>2.2193000000000001</v>
      </c>
      <c r="J35" s="34">
        <f t="shared" si="0"/>
        <v>-3.3365999999999998</v>
      </c>
      <c r="K35" s="34">
        <f t="shared" si="1"/>
        <v>2.3951120892350737</v>
      </c>
    </row>
    <row r="36" spans="3:11" x14ac:dyDescent="0.2">
      <c r="C36" s="13"/>
      <c r="D36" s="13">
        <v>-0.94499</v>
      </c>
      <c r="E36" s="13">
        <v>5.2611999999999997</v>
      </c>
      <c r="F36" s="13">
        <v>0.64032</v>
      </c>
      <c r="G36" s="13">
        <v>-3.2877999999999998</v>
      </c>
      <c r="H36" s="32"/>
      <c r="I36" s="33">
        <v>2.4588999999999999</v>
      </c>
      <c r="J36" s="34">
        <f t="shared" si="0"/>
        <v>0.41718250000000001</v>
      </c>
      <c r="K36" s="34">
        <f t="shared" si="1"/>
        <v>2.7776002893145009</v>
      </c>
    </row>
    <row r="37" spans="3:11" x14ac:dyDescent="0.2">
      <c r="C37" s="13"/>
      <c r="D37" s="13">
        <v>0.74526999999999999</v>
      </c>
      <c r="E37" s="13">
        <v>7.1520999999999999</v>
      </c>
      <c r="F37" s="13">
        <v>2.4664999999999999</v>
      </c>
      <c r="G37" s="13">
        <v>-1.5065999999999999</v>
      </c>
      <c r="H37" s="32"/>
      <c r="I37" s="33">
        <v>2.6867000000000001</v>
      </c>
      <c r="J37" s="34">
        <f t="shared" si="0"/>
        <v>2.2143174999999995</v>
      </c>
      <c r="K37" s="34">
        <f t="shared" si="1"/>
        <v>2.8094059523322716</v>
      </c>
    </row>
    <row r="38" spans="3:11" x14ac:dyDescent="0.2">
      <c r="C38" s="13"/>
      <c r="D38" s="13">
        <v>0.58216999999999997</v>
      </c>
      <c r="E38" s="13">
        <v>7.0011000000000001</v>
      </c>
      <c r="F38" s="13">
        <v>2.4836999999999998</v>
      </c>
      <c r="G38" s="13">
        <v>-1.3319000000000001</v>
      </c>
      <c r="H38" s="32"/>
      <c r="I38" s="33">
        <v>2.8306</v>
      </c>
      <c r="J38" s="34">
        <f t="shared" si="0"/>
        <v>2.1837675000000001</v>
      </c>
      <c r="K38" s="34">
        <f t="shared" si="1"/>
        <v>2.6980366342953905</v>
      </c>
    </row>
    <row r="39" spans="3:11" x14ac:dyDescent="0.2">
      <c r="C39" s="13"/>
      <c r="D39" s="13">
        <v>0.54503999999999997</v>
      </c>
      <c r="E39" s="13">
        <v>7.1319999999999997</v>
      </c>
      <c r="F39" s="13">
        <v>2.6444000000000001</v>
      </c>
      <c r="G39" s="13">
        <v>-1.1079000000000001</v>
      </c>
      <c r="H39" s="32"/>
      <c r="I39" s="33">
        <v>3.0463</v>
      </c>
      <c r="J39" s="34">
        <f t="shared" si="0"/>
        <v>2.3033849999999996</v>
      </c>
      <c r="K39" s="34">
        <f t="shared" si="1"/>
        <v>2.6532767750462827</v>
      </c>
    </row>
    <row r="40" spans="3:11" x14ac:dyDescent="0.2">
      <c r="C40" s="13"/>
      <c r="D40" s="13">
        <v>0.81188000000000005</v>
      </c>
      <c r="E40" s="13">
        <v>7.4911000000000003</v>
      </c>
      <c r="F40" s="13">
        <v>3.0215999999999998</v>
      </c>
      <c r="G40" s="13">
        <v>-0.72875000000000001</v>
      </c>
      <c r="H40" s="32"/>
      <c r="I40" s="33">
        <v>3.2530000000000001</v>
      </c>
      <c r="J40" s="34">
        <f t="shared" si="0"/>
        <v>2.6489574999999999</v>
      </c>
      <c r="K40" s="34">
        <f t="shared" si="1"/>
        <v>2.6518979168229686</v>
      </c>
    </row>
    <row r="41" spans="3:11" x14ac:dyDescent="0.2">
      <c r="C41" s="13"/>
      <c r="D41" s="13">
        <v>1.0504</v>
      </c>
      <c r="E41" s="13">
        <v>7.7904999999999998</v>
      </c>
      <c r="F41" s="13">
        <v>3.3414999999999999</v>
      </c>
      <c r="G41" s="13">
        <v>-0.41132000000000002</v>
      </c>
      <c r="H41" s="32"/>
      <c r="I41" s="33">
        <v>3.4756</v>
      </c>
      <c r="J41" s="34">
        <f t="shared" si="0"/>
        <v>2.9427699999999999</v>
      </c>
      <c r="K41" s="34">
        <f t="shared" si="1"/>
        <v>2.6536444705724995</v>
      </c>
    </row>
    <row r="42" spans="3:11" x14ac:dyDescent="0.2">
      <c r="C42" s="13"/>
      <c r="D42" s="13">
        <v>1.1145</v>
      </c>
      <c r="E42" s="13">
        <v>7.9055</v>
      </c>
      <c r="F42" s="13">
        <v>3.4632000000000001</v>
      </c>
      <c r="G42" s="13">
        <v>-0.28682999999999997</v>
      </c>
      <c r="H42" s="32"/>
      <c r="I42" s="33">
        <v>3.6640000000000001</v>
      </c>
      <c r="J42" s="34">
        <f t="shared" si="0"/>
        <v>3.0490925</v>
      </c>
      <c r="K42" s="34">
        <f>STDEV(F42:G42)</f>
        <v>2.6516716426529894</v>
      </c>
    </row>
    <row r="43" spans="3:11" x14ac:dyDescent="0.2">
      <c r="C43" s="13"/>
      <c r="D43" s="13">
        <v>1.0864</v>
      </c>
      <c r="E43" s="13">
        <v>7.9151999999999996</v>
      </c>
      <c r="F43" s="13">
        <v>3.4910000000000001</v>
      </c>
      <c r="G43" s="13">
        <v>-0.24349000000000001</v>
      </c>
      <c r="H43" s="32"/>
      <c r="I43" s="33">
        <v>3.8813</v>
      </c>
      <c r="J43" s="34">
        <f t="shared" si="0"/>
        <v>3.0622775</v>
      </c>
      <c r="K43" s="34">
        <f t="shared" si="1"/>
        <v>2.6406832032733503</v>
      </c>
    </row>
    <row r="44" spans="3:11" x14ac:dyDescent="0.2">
      <c r="C44" s="13"/>
      <c r="D44" s="13">
        <v>1.1126</v>
      </c>
      <c r="E44" s="13">
        <v>7.9180999999999999</v>
      </c>
      <c r="F44" s="13">
        <v>3.5106999999999999</v>
      </c>
      <c r="G44" s="13">
        <v>-0.2137</v>
      </c>
      <c r="H44" s="32"/>
      <c r="I44" s="33">
        <v>4.0567000000000002</v>
      </c>
      <c r="J44" s="34">
        <f t="shared" si="0"/>
        <v>3.081925</v>
      </c>
      <c r="K44" s="34">
        <f t="shared" si="1"/>
        <v>2.6335484958511777</v>
      </c>
    </row>
    <row r="52" spans="2:13" x14ac:dyDescent="0.2">
      <c r="B52" s="31" t="s">
        <v>7</v>
      </c>
    </row>
    <row r="53" spans="2:13" x14ac:dyDescent="0.2">
      <c r="B53" t="s">
        <v>19</v>
      </c>
    </row>
    <row r="54" spans="2:13" x14ac:dyDescent="0.2">
      <c r="M54" s="5" t="s">
        <v>23</v>
      </c>
    </row>
    <row r="55" spans="2:13" x14ac:dyDescent="0.2">
      <c r="I55" s="31" t="s">
        <v>18</v>
      </c>
      <c r="J55" s="31" t="s">
        <v>20</v>
      </c>
      <c r="K55" s="31" t="s">
        <v>21</v>
      </c>
      <c r="M55">
        <f>ABS(J56-J70)</f>
        <v>13.26825</v>
      </c>
    </row>
    <row r="56" spans="2:13" x14ac:dyDescent="0.2">
      <c r="C56" s="13"/>
      <c r="D56" s="13">
        <v>0</v>
      </c>
      <c r="E56" s="13">
        <v>0</v>
      </c>
      <c r="F56" s="13">
        <v>0</v>
      </c>
      <c r="G56" s="13">
        <v>0</v>
      </c>
      <c r="I56" s="33">
        <v>-3.4807000000000001</v>
      </c>
      <c r="J56" s="34">
        <f>AVERAGE(D56:G56)</f>
        <v>0</v>
      </c>
      <c r="K56" s="34">
        <f>STDEV(F56:G56)</f>
        <v>0</v>
      </c>
    </row>
    <row r="57" spans="2:13" x14ac:dyDescent="0.2">
      <c r="C57" s="13"/>
      <c r="D57" s="13">
        <v>-5.2477000000000003E-2</v>
      </c>
      <c r="E57" s="13">
        <v>-1.1166000000000001E-2</v>
      </c>
      <c r="F57" s="13">
        <v>4.0194999999999996E-3</v>
      </c>
      <c r="G57" s="13">
        <v>1.4661E-2</v>
      </c>
      <c r="I57" s="33">
        <v>-3.2919999999999998</v>
      </c>
      <c r="J57" s="34">
        <f t="shared" ref="J57:J94" si="2">AVERAGE(D57:G57)</f>
        <v>-1.1240625000000001E-2</v>
      </c>
      <c r="K57" s="34">
        <f t="shared" ref="K57:K94" si="3">STDEV(F57:G57)</f>
        <v>7.524676811996648E-3</v>
      </c>
    </row>
    <row r="58" spans="2:13" x14ac:dyDescent="0.2">
      <c r="C58" s="13"/>
      <c r="D58" s="13">
        <v>3.2885999999999999E-2</v>
      </c>
      <c r="E58" s="13">
        <v>5.5945000000000002E-2</v>
      </c>
      <c r="F58" s="13">
        <v>7.1434999999999998E-2</v>
      </c>
      <c r="G58" s="13">
        <v>8.9968000000000006E-2</v>
      </c>
      <c r="I58" s="33">
        <v>-3.1227999999999998</v>
      </c>
      <c r="J58" s="34">
        <f t="shared" si="2"/>
        <v>6.2558500000000003E-2</v>
      </c>
      <c r="K58" s="34">
        <f t="shared" si="3"/>
        <v>1.3104809975730271E-2</v>
      </c>
    </row>
    <row r="59" spans="2:13" x14ac:dyDescent="0.2">
      <c r="C59" s="13"/>
      <c r="D59" s="13">
        <v>0.54178000000000004</v>
      </c>
      <c r="E59" s="13">
        <v>0.42549999999999999</v>
      </c>
      <c r="F59" s="13">
        <v>0.47183000000000003</v>
      </c>
      <c r="G59" s="13">
        <v>0.49334</v>
      </c>
      <c r="I59" s="33">
        <v>-2.8965000000000001</v>
      </c>
      <c r="J59" s="34">
        <f t="shared" si="2"/>
        <v>0.48311250000000006</v>
      </c>
      <c r="K59" s="34">
        <f t="shared" si="3"/>
        <v>1.5209866863322619E-2</v>
      </c>
    </row>
    <row r="60" spans="2:13" x14ac:dyDescent="0.2">
      <c r="C60" s="13"/>
      <c r="D60" s="13">
        <v>1.2202999999999999</v>
      </c>
      <c r="E60" s="13">
        <v>1.1226</v>
      </c>
      <c r="F60" s="13">
        <v>1.2069000000000001</v>
      </c>
      <c r="G60" s="13">
        <v>1.2063999999999999</v>
      </c>
      <c r="I60" s="33">
        <v>-2.7277</v>
      </c>
      <c r="J60" s="34">
        <f t="shared" si="2"/>
        <v>1.1890499999999999</v>
      </c>
      <c r="K60" s="34">
        <f t="shared" si="3"/>
        <v>3.5355339059339183E-4</v>
      </c>
    </row>
    <row r="61" spans="2:13" x14ac:dyDescent="0.2">
      <c r="C61" s="13"/>
      <c r="D61" s="13">
        <v>1.9157999999999999</v>
      </c>
      <c r="E61" s="13">
        <v>2.0644</v>
      </c>
      <c r="F61" s="13">
        <v>2.2113999999999998</v>
      </c>
      <c r="G61" s="13">
        <v>2.11</v>
      </c>
      <c r="I61" s="33">
        <v>-2.5687000000000002</v>
      </c>
      <c r="J61" s="34">
        <f t="shared" si="2"/>
        <v>2.0753999999999997</v>
      </c>
      <c r="K61" s="34">
        <f t="shared" si="3"/>
        <v>7.1700627612315881E-2</v>
      </c>
    </row>
    <row r="62" spans="2:13" x14ac:dyDescent="0.2">
      <c r="C62" s="13"/>
      <c r="D62" s="13">
        <v>1.8472999999999999</v>
      </c>
      <c r="E62" s="13">
        <v>2.2273999999999998</v>
      </c>
      <c r="F62" s="13">
        <v>2.4129</v>
      </c>
      <c r="G62" s="13">
        <v>2.1617000000000002</v>
      </c>
      <c r="I62" s="33">
        <v>-2.3472</v>
      </c>
      <c r="J62" s="34">
        <f t="shared" si="2"/>
        <v>2.1623250000000001</v>
      </c>
      <c r="K62" s="34">
        <f t="shared" si="3"/>
        <v>0.17762522343406065</v>
      </c>
    </row>
    <row r="63" spans="2:13" x14ac:dyDescent="0.2">
      <c r="C63" s="13"/>
      <c r="D63" s="13">
        <v>1.1910000000000001</v>
      </c>
      <c r="E63" s="13">
        <v>1.6307</v>
      </c>
      <c r="F63" s="13">
        <v>1.7722</v>
      </c>
      <c r="G63" s="13">
        <v>1.4865999999999999</v>
      </c>
      <c r="I63" s="33">
        <v>-2.2275</v>
      </c>
      <c r="J63" s="34">
        <f t="shared" si="2"/>
        <v>1.5201249999999999</v>
      </c>
      <c r="K63" s="34">
        <f t="shared" si="3"/>
        <v>0.20194969670687804</v>
      </c>
    </row>
    <row r="64" spans="2:13" x14ac:dyDescent="0.2">
      <c r="C64" s="13"/>
      <c r="D64" s="13">
        <v>0.37362000000000001</v>
      </c>
      <c r="E64" s="13">
        <v>1.0986</v>
      </c>
      <c r="F64" s="13">
        <v>1.149</v>
      </c>
      <c r="G64" s="13">
        <v>0.59053999999999995</v>
      </c>
      <c r="I64" s="33">
        <v>-2.0423</v>
      </c>
      <c r="J64" s="34">
        <f t="shared" si="2"/>
        <v>0.80293999999999999</v>
      </c>
      <c r="K64" s="34">
        <f t="shared" si="3"/>
        <v>0.39489085302143945</v>
      </c>
    </row>
    <row r="65" spans="3:11" x14ac:dyDescent="0.2">
      <c r="C65" s="13"/>
      <c r="D65" s="13">
        <v>-1.7308E-2</v>
      </c>
      <c r="E65" s="13">
        <v>1.1147</v>
      </c>
      <c r="F65" s="13">
        <v>1.2558</v>
      </c>
      <c r="G65" s="13">
        <v>0.42575000000000002</v>
      </c>
      <c r="I65" s="33">
        <v>-1.8162</v>
      </c>
      <c r="J65" s="34">
        <f t="shared" si="2"/>
        <v>0.69473549999999995</v>
      </c>
      <c r="K65" s="34">
        <f t="shared" si="3"/>
        <v>0.5869339837238936</v>
      </c>
    </row>
    <row r="66" spans="3:11" x14ac:dyDescent="0.2">
      <c r="C66" s="13"/>
      <c r="D66" s="13">
        <v>1.5331999999999999</v>
      </c>
      <c r="E66" s="13">
        <v>2.9020999999999999</v>
      </c>
      <c r="F66" s="13">
        <v>3.1137000000000001</v>
      </c>
      <c r="G66" s="13">
        <v>2.2197</v>
      </c>
      <c r="I66" s="33">
        <v>-1.6168</v>
      </c>
      <c r="J66" s="34">
        <f t="shared" si="2"/>
        <v>2.4421749999999998</v>
      </c>
      <c r="K66" s="34">
        <f t="shared" si="3"/>
        <v>0.63215346238077508</v>
      </c>
    </row>
    <row r="67" spans="3:11" x14ac:dyDescent="0.2">
      <c r="C67" s="13"/>
      <c r="D67" s="13">
        <v>3.6185999999999998</v>
      </c>
      <c r="E67" s="13">
        <v>5.3064</v>
      </c>
      <c r="F67" s="13">
        <v>5.7100999999999997</v>
      </c>
      <c r="G67" s="13">
        <v>4.7415000000000003</v>
      </c>
      <c r="I67" s="33">
        <v>-1.46</v>
      </c>
      <c r="J67" s="34">
        <f t="shared" si="2"/>
        <v>4.8441500000000008</v>
      </c>
      <c r="K67" s="34">
        <f t="shared" si="3"/>
        <v>0.68490362825728957</v>
      </c>
    </row>
    <row r="68" spans="3:11" x14ac:dyDescent="0.2">
      <c r="C68" s="13"/>
      <c r="D68" s="13">
        <v>7.0282999999999998</v>
      </c>
      <c r="E68" s="13">
        <v>8.6529000000000007</v>
      </c>
      <c r="F68" s="13">
        <v>9.4860000000000007</v>
      </c>
      <c r="G68" s="13">
        <v>8.8056000000000001</v>
      </c>
      <c r="I68" s="33">
        <v>-1.2323</v>
      </c>
      <c r="J68" s="34">
        <f t="shared" si="2"/>
        <v>8.4931999999999999</v>
      </c>
      <c r="K68" s="34">
        <f t="shared" si="3"/>
        <v>0.48111545391932731</v>
      </c>
    </row>
    <row r="69" spans="3:11" x14ac:dyDescent="0.2">
      <c r="C69" s="13"/>
      <c r="D69" s="13">
        <v>10.07</v>
      </c>
      <c r="E69" s="13">
        <v>11.999000000000001</v>
      </c>
      <c r="F69" s="13">
        <v>13.138</v>
      </c>
      <c r="G69" s="13">
        <v>12.879</v>
      </c>
      <c r="I69" s="33">
        <v>-1.0306999999999999</v>
      </c>
      <c r="J69" s="34">
        <f t="shared" si="2"/>
        <v>12.0215</v>
      </c>
      <c r="K69" s="34">
        <f t="shared" si="3"/>
        <v>0.18314065632731605</v>
      </c>
    </row>
    <row r="70" spans="3:11" x14ac:dyDescent="0.2">
      <c r="C70" s="13"/>
      <c r="D70" s="13">
        <v>10.689</v>
      </c>
      <c r="E70" s="13">
        <v>13.2</v>
      </c>
      <c r="F70" s="13">
        <v>14.663</v>
      </c>
      <c r="G70" s="13">
        <v>14.521000000000001</v>
      </c>
      <c r="I70" s="33">
        <v>-0.87773000000000001</v>
      </c>
      <c r="J70" s="34">
        <f t="shared" si="2"/>
        <v>13.26825</v>
      </c>
      <c r="K70" s="34">
        <f t="shared" si="3"/>
        <v>0.10040916292848936</v>
      </c>
    </row>
    <row r="71" spans="3:11" x14ac:dyDescent="0.2">
      <c r="C71" s="13"/>
      <c r="D71" s="13">
        <v>10.304</v>
      </c>
      <c r="E71" s="13">
        <v>12.821999999999999</v>
      </c>
      <c r="F71" s="13">
        <v>14.561999999999999</v>
      </c>
      <c r="G71" s="13">
        <v>14.308</v>
      </c>
      <c r="I71" s="33">
        <v>-0.69386000000000003</v>
      </c>
      <c r="J71" s="34">
        <f t="shared" si="2"/>
        <v>12.998999999999999</v>
      </c>
      <c r="K71" s="34">
        <f t="shared" si="3"/>
        <v>0.17960512242138277</v>
      </c>
    </row>
    <row r="72" spans="3:11" x14ac:dyDescent="0.2">
      <c r="C72" s="13"/>
      <c r="D72" s="13">
        <v>9.2598000000000003</v>
      </c>
      <c r="E72" s="13">
        <v>11.846</v>
      </c>
      <c r="F72" s="13">
        <v>13.766999999999999</v>
      </c>
      <c r="G72" s="13">
        <v>13.506</v>
      </c>
      <c r="I72" s="33">
        <v>-0.49081000000000002</v>
      </c>
      <c r="J72" s="34">
        <f t="shared" si="2"/>
        <v>12.0947</v>
      </c>
      <c r="K72" s="34">
        <f t="shared" si="3"/>
        <v>0.18455486988968836</v>
      </c>
    </row>
    <row r="73" spans="3:11" x14ac:dyDescent="0.2">
      <c r="C73" s="13"/>
      <c r="D73" s="13">
        <v>7.609</v>
      </c>
      <c r="E73" s="13">
        <v>10.462999999999999</v>
      </c>
      <c r="F73" s="13">
        <v>12.342000000000001</v>
      </c>
      <c r="G73" s="13">
        <v>12.209</v>
      </c>
      <c r="I73" s="33">
        <v>-0.26457000000000003</v>
      </c>
      <c r="J73" s="34">
        <f t="shared" si="2"/>
        <v>10.655750000000001</v>
      </c>
      <c r="K73" s="34">
        <f t="shared" si="3"/>
        <v>9.4045201897811459E-2</v>
      </c>
    </row>
    <row r="74" spans="3:11" x14ac:dyDescent="0.2">
      <c r="C74" s="13"/>
      <c r="D74" s="13">
        <v>6.6859999999999999</v>
      </c>
      <c r="E74" s="13">
        <v>9.8102</v>
      </c>
      <c r="F74" s="13">
        <v>11.678000000000001</v>
      </c>
      <c r="G74" s="13">
        <v>11.529</v>
      </c>
      <c r="I74" s="33">
        <v>-6.2621999999999997E-2</v>
      </c>
      <c r="J74" s="34">
        <f t="shared" si="2"/>
        <v>9.9258000000000006</v>
      </c>
      <c r="K74" s="34">
        <f t="shared" si="3"/>
        <v>0.10535891039679623</v>
      </c>
    </row>
    <row r="75" spans="3:11" x14ac:dyDescent="0.2">
      <c r="C75" s="13"/>
      <c r="D75" s="13">
        <v>6.7971000000000004</v>
      </c>
      <c r="E75" s="13">
        <v>9.8840000000000003</v>
      </c>
      <c r="F75" s="13">
        <v>11.726000000000001</v>
      </c>
      <c r="G75" s="13">
        <v>11.561999999999999</v>
      </c>
      <c r="I75" s="33">
        <v>0.12734999999999999</v>
      </c>
      <c r="J75" s="34">
        <f t="shared" si="2"/>
        <v>9.9922749999999994</v>
      </c>
      <c r="K75" s="34">
        <f t="shared" si="3"/>
        <v>0.11596551211459484</v>
      </c>
    </row>
    <row r="76" spans="3:11" x14ac:dyDescent="0.2">
      <c r="C76" s="13"/>
      <c r="D76" s="13">
        <v>7.9345999999999997</v>
      </c>
      <c r="E76" s="13">
        <v>10.763</v>
      </c>
      <c r="F76" s="13">
        <v>12.496</v>
      </c>
      <c r="G76" s="13">
        <v>12.343</v>
      </c>
      <c r="I76" s="33">
        <v>0.31852999999999998</v>
      </c>
      <c r="J76" s="34">
        <f t="shared" si="2"/>
        <v>10.884150000000002</v>
      </c>
      <c r="K76" s="34">
        <f t="shared" si="3"/>
        <v>0.10818733752154211</v>
      </c>
    </row>
    <row r="77" spans="3:11" x14ac:dyDescent="0.2">
      <c r="C77" s="13"/>
      <c r="D77" s="13">
        <v>9.6745999999999999</v>
      </c>
      <c r="E77" s="13">
        <v>12.632999999999999</v>
      </c>
      <c r="F77" s="13">
        <v>14.266999999999999</v>
      </c>
      <c r="G77" s="13">
        <v>14.11</v>
      </c>
      <c r="I77" s="33">
        <v>0.70618999999999998</v>
      </c>
      <c r="J77" s="34">
        <f t="shared" si="2"/>
        <v>12.671150000000001</v>
      </c>
      <c r="K77" s="34">
        <f t="shared" si="3"/>
        <v>0.11101576464628798</v>
      </c>
    </row>
    <row r="78" spans="3:11" x14ac:dyDescent="0.2">
      <c r="C78" s="13"/>
      <c r="D78" s="13">
        <v>9.0312000000000001</v>
      </c>
      <c r="E78" s="13">
        <v>11.536</v>
      </c>
      <c r="F78" s="13">
        <v>13.429</v>
      </c>
      <c r="G78" s="13">
        <v>13.343999999999999</v>
      </c>
      <c r="I78" s="33">
        <v>0.90217000000000003</v>
      </c>
      <c r="J78" s="34">
        <f t="shared" si="2"/>
        <v>11.835050000000001</v>
      </c>
      <c r="K78" s="34">
        <f t="shared" si="3"/>
        <v>6.0104076400857145E-2</v>
      </c>
    </row>
    <row r="79" spans="3:11" x14ac:dyDescent="0.2">
      <c r="C79" s="13"/>
      <c r="D79" s="13">
        <v>7.1010999999999997</v>
      </c>
      <c r="E79" s="13">
        <v>8.6608000000000001</v>
      </c>
      <c r="F79" s="13">
        <v>10.596</v>
      </c>
      <c r="G79" s="13">
        <v>10.519</v>
      </c>
      <c r="I79" s="33">
        <v>1.0881000000000001</v>
      </c>
      <c r="J79" s="34">
        <f t="shared" si="2"/>
        <v>9.2192249999999998</v>
      </c>
      <c r="K79" s="34">
        <f t="shared" si="3"/>
        <v>5.4447222151364126E-2</v>
      </c>
    </row>
    <row r="80" spans="3:11" x14ac:dyDescent="0.2">
      <c r="C80" s="13"/>
      <c r="D80" s="13">
        <v>2.6219999999999999</v>
      </c>
      <c r="E80" s="13">
        <v>4.1715</v>
      </c>
      <c r="F80" s="13">
        <v>6.0803000000000003</v>
      </c>
      <c r="G80" s="13">
        <v>5.8291000000000004</v>
      </c>
      <c r="I80" s="33">
        <v>1.3172999999999999</v>
      </c>
      <c r="J80" s="34">
        <f t="shared" si="2"/>
        <v>4.6757249999999999</v>
      </c>
      <c r="K80" s="34">
        <f t="shared" si="3"/>
        <v>0.17762522343406062</v>
      </c>
    </row>
    <row r="81" spans="3:11" x14ac:dyDescent="0.2">
      <c r="C81" s="13"/>
      <c r="D81" s="13">
        <v>-1.8842000000000001</v>
      </c>
      <c r="E81" s="13">
        <v>-2.2622E-2</v>
      </c>
      <c r="F81" s="13">
        <v>2.0672999999999999</v>
      </c>
      <c r="G81" s="13">
        <v>1.8985000000000001</v>
      </c>
      <c r="I81" s="33">
        <v>1.522</v>
      </c>
      <c r="J81" s="34">
        <f t="shared" si="2"/>
        <v>0.51474449999999994</v>
      </c>
      <c r="K81" s="34">
        <f t="shared" si="3"/>
        <v>0.11935962466428911</v>
      </c>
    </row>
    <row r="82" spans="3:11" x14ac:dyDescent="0.2">
      <c r="C82" s="13"/>
      <c r="D82" s="13">
        <v>-3.5968</v>
      </c>
      <c r="E82" s="13">
        <v>-1.9394</v>
      </c>
      <c r="F82" s="13">
        <v>4.2938999999999998E-2</v>
      </c>
      <c r="G82" s="13">
        <v>-4.2784000000000003E-2</v>
      </c>
      <c r="I82" s="33">
        <v>1.694</v>
      </c>
      <c r="J82" s="34">
        <f t="shared" si="2"/>
        <v>-1.3840112500000001</v>
      </c>
      <c r="K82" s="34">
        <f t="shared" si="3"/>
        <v>6.0615314603654415E-2</v>
      </c>
    </row>
    <row r="83" spans="3:11" x14ac:dyDescent="0.2">
      <c r="C83" s="13"/>
      <c r="D83" s="13">
        <v>-4.6376999999999997</v>
      </c>
      <c r="E83" s="13">
        <v>-2.7488000000000001</v>
      </c>
      <c r="F83" s="13">
        <v>-0.80993000000000004</v>
      </c>
      <c r="G83" s="13">
        <v>-1.0197000000000001</v>
      </c>
      <c r="I83" s="33">
        <v>1.885</v>
      </c>
      <c r="J83" s="34">
        <f t="shared" si="2"/>
        <v>-2.3040324999999999</v>
      </c>
      <c r="K83" s="34">
        <f t="shared" si="3"/>
        <v>0.14832978948950162</v>
      </c>
    </row>
    <row r="84" spans="3:11" x14ac:dyDescent="0.2">
      <c r="C84" s="13"/>
      <c r="D84" s="13">
        <v>-5.2755999999999998</v>
      </c>
      <c r="E84" s="13">
        <v>-2.9481999999999999</v>
      </c>
      <c r="F84" s="13">
        <v>-0.90490000000000004</v>
      </c>
      <c r="G84" s="13">
        <v>-1.077</v>
      </c>
      <c r="I84" s="33">
        <v>2.0550000000000002</v>
      </c>
      <c r="J84" s="34">
        <f t="shared" si="2"/>
        <v>-2.5514250000000001</v>
      </c>
      <c r="K84" s="34">
        <f t="shared" si="3"/>
        <v>0.12169307704220478</v>
      </c>
    </row>
    <row r="85" spans="3:11" x14ac:dyDescent="0.2">
      <c r="C85" s="13"/>
      <c r="D85" s="13">
        <v>-4.7302</v>
      </c>
      <c r="E85" s="13">
        <v>-2.3917999999999999</v>
      </c>
      <c r="F85" s="13">
        <v>-0.18393999999999999</v>
      </c>
      <c r="G85" s="13">
        <v>-0.33751999999999999</v>
      </c>
      <c r="I85" s="33">
        <v>2.2134</v>
      </c>
      <c r="J85" s="34">
        <f t="shared" si="2"/>
        <v>-1.9108649999999998</v>
      </c>
      <c r="K85" s="34">
        <f t="shared" si="3"/>
        <v>0.10859745945462994</v>
      </c>
    </row>
    <row r="86" spans="3:11" x14ac:dyDescent="0.2">
      <c r="C86" s="13"/>
      <c r="D86" s="13">
        <v>-4.8026</v>
      </c>
      <c r="E86" s="13">
        <v>-1.9561999999999999</v>
      </c>
      <c r="F86" s="13">
        <v>0.50349999999999995</v>
      </c>
      <c r="G86" s="13">
        <v>0.32355</v>
      </c>
      <c r="I86" s="33">
        <v>2.4066000000000001</v>
      </c>
      <c r="J86" s="34">
        <f t="shared" si="2"/>
        <v>-1.4829375</v>
      </c>
      <c r="K86" s="34">
        <f t="shared" si="3"/>
        <v>0.12724386527451925</v>
      </c>
    </row>
    <row r="87" spans="3:11" x14ac:dyDescent="0.2">
      <c r="C87" s="13"/>
      <c r="D87" s="13">
        <v>-6.4394999999999998</v>
      </c>
      <c r="E87" s="13">
        <v>-2.8064</v>
      </c>
      <c r="F87" s="13">
        <v>-0.17005999999999999</v>
      </c>
      <c r="G87" s="13">
        <v>-0.27788000000000002</v>
      </c>
      <c r="I87" s="33">
        <v>2.6532</v>
      </c>
      <c r="J87" s="34">
        <f t="shared" si="2"/>
        <v>-2.4234599999999995</v>
      </c>
      <c r="K87" s="34">
        <f t="shared" si="3"/>
        <v>7.6240253147533577E-2</v>
      </c>
    </row>
    <row r="88" spans="3:11" x14ac:dyDescent="0.2">
      <c r="C88" s="13"/>
      <c r="D88" s="13">
        <v>-7.4268000000000001</v>
      </c>
      <c r="E88" s="13">
        <v>-3.8658000000000001</v>
      </c>
      <c r="F88" s="13">
        <v>-1.1713</v>
      </c>
      <c r="G88" s="13">
        <v>-1.2603</v>
      </c>
      <c r="I88" s="33">
        <v>2.8567</v>
      </c>
      <c r="J88" s="34">
        <f t="shared" si="2"/>
        <v>-3.4310499999999999</v>
      </c>
      <c r="K88" s="34">
        <f t="shared" si="3"/>
        <v>6.2932503525602701E-2</v>
      </c>
    </row>
    <row r="89" spans="3:11" x14ac:dyDescent="0.2">
      <c r="C89" s="13"/>
      <c r="D89" s="13">
        <v>-7.8244999999999996</v>
      </c>
      <c r="E89" s="13">
        <v>-4.4039000000000001</v>
      </c>
      <c r="F89" s="13">
        <v>-1.7133</v>
      </c>
      <c r="G89" s="13">
        <v>-1.7964</v>
      </c>
      <c r="I89" s="33">
        <v>3.0606</v>
      </c>
      <c r="J89" s="34">
        <f t="shared" si="2"/>
        <v>-3.9345250000000003</v>
      </c>
      <c r="K89" s="34">
        <f t="shared" si="3"/>
        <v>5.8760573516602063E-2</v>
      </c>
    </row>
    <row r="90" spans="3:11" x14ac:dyDescent="0.2">
      <c r="C90" s="13"/>
      <c r="D90" s="13">
        <v>-7.9348999999999998</v>
      </c>
      <c r="E90" s="13">
        <v>-4.5662000000000003</v>
      </c>
      <c r="F90" s="13">
        <v>-1.8865000000000001</v>
      </c>
      <c r="G90" s="13">
        <v>-1.9975000000000001</v>
      </c>
      <c r="I90" s="33">
        <v>3.2738</v>
      </c>
      <c r="J90" s="34">
        <f t="shared" si="2"/>
        <v>-4.0962750000000003</v>
      </c>
      <c r="K90" s="34">
        <f t="shared" si="3"/>
        <v>7.8488852711706775E-2</v>
      </c>
    </row>
    <row r="91" spans="3:11" x14ac:dyDescent="0.2">
      <c r="C91" s="13"/>
      <c r="D91" s="13">
        <v>-7.9203000000000001</v>
      </c>
      <c r="E91" s="13">
        <v>-4.6056999999999997</v>
      </c>
      <c r="F91" s="13">
        <v>-1.9330000000000001</v>
      </c>
      <c r="G91" s="13">
        <v>-2.0415999999999999</v>
      </c>
      <c r="I91" s="33">
        <v>3.4575</v>
      </c>
      <c r="J91" s="34">
        <f t="shared" si="2"/>
        <v>-4.1251499999999997</v>
      </c>
      <c r="K91" s="34">
        <f t="shared" si="3"/>
        <v>7.679179643685892E-2</v>
      </c>
    </row>
    <row r="92" spans="3:11" x14ac:dyDescent="0.2">
      <c r="C92" s="13"/>
      <c r="D92" s="13">
        <v>-7.8933999999999997</v>
      </c>
      <c r="E92" s="13">
        <v>-4.5978000000000003</v>
      </c>
      <c r="F92" s="13">
        <v>-1.9461999999999999</v>
      </c>
      <c r="G92" s="13">
        <v>-2.0451999999999999</v>
      </c>
      <c r="I92" s="33">
        <v>3.6606999999999998</v>
      </c>
      <c r="J92" s="34">
        <f t="shared" si="2"/>
        <v>-4.1206499999999995</v>
      </c>
      <c r="K92" s="34">
        <f t="shared" si="3"/>
        <v>7.0003571337468193E-2</v>
      </c>
    </row>
    <row r="93" spans="3:11" x14ac:dyDescent="0.2">
      <c r="C93" s="13"/>
      <c r="D93" s="13">
        <v>-7.8935000000000004</v>
      </c>
      <c r="E93" s="13">
        <v>-4.5732999999999997</v>
      </c>
      <c r="F93" s="13">
        <v>-1.9289000000000001</v>
      </c>
      <c r="G93" s="13">
        <v>-2.0110000000000001</v>
      </c>
      <c r="I93" s="33">
        <v>3.8912</v>
      </c>
      <c r="J93" s="34">
        <f t="shared" si="2"/>
        <v>-4.1016750000000002</v>
      </c>
      <c r="K93" s="34">
        <f t="shared" si="3"/>
        <v>5.8053466735415594E-2</v>
      </c>
    </row>
    <row r="94" spans="3:11" x14ac:dyDescent="0.2">
      <c r="C94" s="13"/>
      <c r="D94" s="13">
        <v>-7.9358000000000004</v>
      </c>
      <c r="E94" s="13">
        <v>-4.6212</v>
      </c>
      <c r="F94" s="13">
        <v>-1.9553</v>
      </c>
      <c r="G94" s="13">
        <v>-2.0131999999999999</v>
      </c>
      <c r="I94" s="33">
        <v>4.0975000000000001</v>
      </c>
      <c r="J94" s="34">
        <f t="shared" si="2"/>
        <v>-4.1313750000000002</v>
      </c>
      <c r="K94" s="34">
        <f t="shared" si="3"/>
        <v>4.0941482630700986E-2</v>
      </c>
    </row>
    <row r="104" spans="2:13" x14ac:dyDescent="0.2">
      <c r="B104" s="31" t="s">
        <v>10</v>
      </c>
    </row>
    <row r="105" spans="2:13" x14ac:dyDescent="0.2">
      <c r="B105" t="s">
        <v>19</v>
      </c>
    </row>
    <row r="107" spans="2:13" x14ac:dyDescent="0.2">
      <c r="I107" s="31" t="s">
        <v>18</v>
      </c>
      <c r="J107" s="31" t="s">
        <v>20</v>
      </c>
      <c r="K107" s="31" t="s">
        <v>21</v>
      </c>
      <c r="M107" s="5" t="s">
        <v>23</v>
      </c>
    </row>
    <row r="108" spans="2:13" x14ac:dyDescent="0.2">
      <c r="C108" s="10"/>
      <c r="D108" s="13">
        <v>0</v>
      </c>
      <c r="E108" s="13">
        <v>0</v>
      </c>
      <c r="F108" s="13">
        <v>0</v>
      </c>
      <c r="G108" s="13">
        <v>0</v>
      </c>
      <c r="H108" s="11"/>
      <c r="I108" s="33">
        <v>-3.6023999999999998</v>
      </c>
      <c r="J108" s="35">
        <f>AVERAGE(C108:G108)</f>
        <v>0</v>
      </c>
      <c r="K108" s="35">
        <f>STDEV(F108:G108)</f>
        <v>0</v>
      </c>
      <c r="M108" s="30"/>
    </row>
    <row r="109" spans="2:13" x14ac:dyDescent="0.2">
      <c r="C109" s="10"/>
      <c r="D109" s="13">
        <v>-8.9910000000000004E-2</v>
      </c>
      <c r="E109" s="13">
        <v>-1.0574999999999999E-2</v>
      </c>
      <c r="F109" s="13">
        <v>6.8285999999999998E-3</v>
      </c>
      <c r="G109" s="13">
        <v>-5.1283000000000002E-2</v>
      </c>
      <c r="H109" s="11"/>
      <c r="I109" s="33">
        <v>-3.3754</v>
      </c>
      <c r="J109" s="35">
        <f t="shared" ref="J109:J147" si="4">AVERAGE(C109:G109)</f>
        <v>-3.6234849999999999E-2</v>
      </c>
      <c r="K109" s="35">
        <f t="shared" ref="K109:K147" si="5">STDEV(F109:G109)</f>
        <v>4.1091106425600175E-2</v>
      </c>
      <c r="M109">
        <f>ABS(J116-J127)</f>
        <v>19.440799999999996</v>
      </c>
    </row>
    <row r="110" spans="2:13" x14ac:dyDescent="0.2">
      <c r="C110" s="10"/>
      <c r="D110" s="13">
        <v>-0.10562000000000001</v>
      </c>
      <c r="E110" s="13">
        <v>2.0789999999999999E-2</v>
      </c>
      <c r="F110" s="13">
        <v>1.1521E-2</v>
      </c>
      <c r="G110" s="13">
        <v>-3.7883E-2</v>
      </c>
      <c r="H110" s="11"/>
      <c r="I110" s="33">
        <v>-3.2433999999999998</v>
      </c>
      <c r="J110" s="35">
        <f t="shared" si="4"/>
        <v>-2.7798E-2</v>
      </c>
      <c r="K110" s="35">
        <f t="shared" si="5"/>
        <v>3.4933903417740192E-2</v>
      </c>
    </row>
    <row r="111" spans="2:13" x14ac:dyDescent="0.2">
      <c r="C111" s="10"/>
      <c r="D111" s="13">
        <v>6.8541000000000005E-2</v>
      </c>
      <c r="E111" s="13">
        <v>0.22706999999999999</v>
      </c>
      <c r="F111" s="13">
        <v>0.17391999999999999</v>
      </c>
      <c r="G111" s="13">
        <v>0.17626</v>
      </c>
      <c r="H111" s="11"/>
      <c r="I111" s="33">
        <v>-3.0670000000000002</v>
      </c>
      <c r="J111" s="35">
        <f t="shared" si="4"/>
        <v>0.16144775</v>
      </c>
      <c r="K111" s="35">
        <f t="shared" si="5"/>
        <v>1.6546298679765274E-3</v>
      </c>
    </row>
    <row r="112" spans="2:13" x14ac:dyDescent="0.2">
      <c r="C112" s="10"/>
      <c r="D112" s="13">
        <v>0.24010999999999999</v>
      </c>
      <c r="E112" s="13">
        <v>0.39845000000000003</v>
      </c>
      <c r="F112" s="13">
        <v>0.40238000000000002</v>
      </c>
      <c r="G112" s="13">
        <v>0.50665000000000004</v>
      </c>
      <c r="H112" s="11"/>
      <c r="I112" s="33">
        <v>-2.8837000000000002</v>
      </c>
      <c r="J112" s="35">
        <f t="shared" si="4"/>
        <v>0.38689750000000001</v>
      </c>
      <c r="K112" s="35">
        <f t="shared" si="5"/>
        <v>7.3730024074321499E-2</v>
      </c>
    </row>
    <row r="113" spans="3:11" x14ac:dyDescent="0.2">
      <c r="C113" s="10"/>
      <c r="D113" s="13">
        <v>0.98126000000000002</v>
      </c>
      <c r="E113" s="13">
        <v>0.72767999999999999</v>
      </c>
      <c r="F113" s="13">
        <v>0.56547999999999998</v>
      </c>
      <c r="G113" s="13">
        <v>0.74753999999999998</v>
      </c>
      <c r="H113" s="11"/>
      <c r="I113" s="33">
        <v>-2.7101000000000002</v>
      </c>
      <c r="J113" s="35">
        <f t="shared" si="4"/>
        <v>0.75548999999999999</v>
      </c>
      <c r="K113" s="35">
        <f t="shared" si="5"/>
        <v>0.12873586058282338</v>
      </c>
    </row>
    <row r="114" spans="3:11" x14ac:dyDescent="0.2">
      <c r="C114" s="10"/>
      <c r="D114" s="13">
        <v>1.0273000000000001</v>
      </c>
      <c r="E114" s="13">
        <v>0.36998999999999999</v>
      </c>
      <c r="F114" s="13">
        <v>-0.26722000000000001</v>
      </c>
      <c r="G114" s="13">
        <v>0.1384</v>
      </c>
      <c r="H114" s="11"/>
      <c r="I114" s="33">
        <v>-2.5152000000000001</v>
      </c>
      <c r="J114" s="35">
        <f t="shared" si="4"/>
        <v>0.31711750000000005</v>
      </c>
      <c r="K114" s="35">
        <f t="shared" si="5"/>
        <v>0.28681665258488742</v>
      </c>
    </row>
    <row r="115" spans="3:11" x14ac:dyDescent="0.2">
      <c r="C115" s="10"/>
      <c r="D115" s="13">
        <v>-1.5269999999999999</v>
      </c>
      <c r="E115" s="13">
        <v>-1.2611000000000001</v>
      </c>
      <c r="F115" s="13">
        <v>-2.0383</v>
      </c>
      <c r="G115" s="13">
        <v>-1.6474</v>
      </c>
      <c r="H115" s="11"/>
      <c r="I115" s="33">
        <v>-2.2885</v>
      </c>
      <c r="J115" s="35">
        <f t="shared" si="4"/>
        <v>-1.6184499999999999</v>
      </c>
      <c r="K115" s="35">
        <f t="shared" si="5"/>
        <v>0.27640804076582209</v>
      </c>
    </row>
    <row r="116" spans="3:11" x14ac:dyDescent="0.2">
      <c r="C116" s="10"/>
      <c r="D116" s="13">
        <v>-3.1225999999999998</v>
      </c>
      <c r="E116" s="13">
        <v>-1.9619</v>
      </c>
      <c r="F116" s="13">
        <v>-2.5381999999999998</v>
      </c>
      <c r="G116" s="13">
        <v>-2.4824999999999999</v>
      </c>
      <c r="H116" s="11"/>
      <c r="I116" s="33">
        <v>-2.0886999999999998</v>
      </c>
      <c r="J116" s="35">
        <f t="shared" si="4"/>
        <v>-2.5263</v>
      </c>
      <c r="K116" s="35">
        <f>STDEV(F116:G116)</f>
        <v>3.9385847712090596E-2</v>
      </c>
    </row>
    <row r="117" spans="3:11" x14ac:dyDescent="0.2">
      <c r="C117" s="10"/>
      <c r="D117" s="13">
        <v>-3.1861999999999999</v>
      </c>
      <c r="E117" s="13">
        <v>-1.5692999999999999</v>
      </c>
      <c r="F117" s="13">
        <v>-2.2132999999999998</v>
      </c>
      <c r="G117" s="13">
        <v>-2.1044</v>
      </c>
      <c r="H117" s="11"/>
      <c r="I117" s="33">
        <v>-1.8773</v>
      </c>
      <c r="J117" s="35">
        <f t="shared" si="4"/>
        <v>-2.2683</v>
      </c>
      <c r="K117" s="35">
        <f t="shared" si="5"/>
        <v>7.7003928471214858E-2</v>
      </c>
    </row>
    <row r="118" spans="3:11" x14ac:dyDescent="0.2">
      <c r="C118" s="10"/>
      <c r="D118" s="13">
        <v>-3.0348000000000002</v>
      </c>
      <c r="E118" s="13">
        <v>-0.82606000000000002</v>
      </c>
      <c r="F118" s="13">
        <v>-1.1873</v>
      </c>
      <c r="G118" s="13">
        <v>-0.91276000000000002</v>
      </c>
      <c r="H118" s="11"/>
      <c r="I118" s="33">
        <v>-1.7188000000000001</v>
      </c>
      <c r="J118" s="35">
        <f t="shared" si="4"/>
        <v>-1.4902299999999999</v>
      </c>
      <c r="K118" s="35">
        <f t="shared" si="5"/>
        <v>0.19412909570695414</v>
      </c>
    </row>
    <row r="119" spans="3:11" x14ac:dyDescent="0.2">
      <c r="C119" s="10"/>
      <c r="D119" s="13">
        <v>-1.8368</v>
      </c>
      <c r="E119" s="13">
        <v>0.84499000000000002</v>
      </c>
      <c r="F119" s="13">
        <v>1.1618999999999999</v>
      </c>
      <c r="G119" s="13">
        <v>1.4218</v>
      </c>
      <c r="H119" s="11"/>
      <c r="I119" s="33">
        <v>-1.5481</v>
      </c>
      <c r="J119" s="35">
        <f t="shared" si="4"/>
        <v>0.39797249999999995</v>
      </c>
      <c r="K119" s="35">
        <f t="shared" si="5"/>
        <v>0.18377705243038295</v>
      </c>
    </row>
    <row r="120" spans="3:11" x14ac:dyDescent="0.2">
      <c r="C120" s="10"/>
      <c r="D120" s="13">
        <v>1.2787999999999999</v>
      </c>
      <c r="E120" s="13">
        <v>4.0271999999999997</v>
      </c>
      <c r="F120" s="13">
        <v>4.4212999999999996</v>
      </c>
      <c r="G120" s="13">
        <v>4.6159999999999997</v>
      </c>
      <c r="H120" s="11"/>
      <c r="I120" s="33">
        <v>-1.3479000000000001</v>
      </c>
      <c r="J120" s="35">
        <f t="shared" si="4"/>
        <v>3.5858249999999998</v>
      </c>
      <c r="K120" s="35">
        <f t="shared" si="5"/>
        <v>0.13767369029702087</v>
      </c>
    </row>
    <row r="121" spans="3:11" x14ac:dyDescent="0.2">
      <c r="C121" s="10"/>
      <c r="D121" s="13">
        <v>4.3076999999999996</v>
      </c>
      <c r="E121" s="13">
        <v>6.7079000000000004</v>
      </c>
      <c r="F121" s="13">
        <v>7.1901000000000002</v>
      </c>
      <c r="G121" s="13">
        <v>7.4546000000000001</v>
      </c>
      <c r="H121" s="11"/>
      <c r="I121" s="33">
        <v>-1.1871</v>
      </c>
      <c r="J121" s="35">
        <f t="shared" si="4"/>
        <v>6.4150749999999999</v>
      </c>
      <c r="K121" s="35">
        <f t="shared" si="5"/>
        <v>0.18702974362384178</v>
      </c>
    </row>
    <row r="122" spans="3:11" x14ac:dyDescent="0.2">
      <c r="C122" s="10"/>
      <c r="D122" s="13">
        <v>7.1022999999999996</v>
      </c>
      <c r="E122" s="13">
        <v>8.6554000000000002</v>
      </c>
      <c r="F122" s="13">
        <v>9.4</v>
      </c>
      <c r="G122" s="13">
        <v>9.7852999999999994</v>
      </c>
      <c r="H122" s="11"/>
      <c r="I122" s="33">
        <v>-1.0456000000000001</v>
      </c>
      <c r="J122" s="35">
        <f t="shared" si="4"/>
        <v>8.7357499999999995</v>
      </c>
      <c r="K122" s="35">
        <f t="shared" si="5"/>
        <v>0.27244824279117613</v>
      </c>
    </row>
    <row r="123" spans="3:11" x14ac:dyDescent="0.2">
      <c r="C123" s="10"/>
      <c r="D123" s="13">
        <v>11.113</v>
      </c>
      <c r="E123" s="13">
        <v>11.784000000000001</v>
      </c>
      <c r="F123" s="13">
        <v>12.465</v>
      </c>
      <c r="G123" s="13">
        <v>12.865</v>
      </c>
      <c r="H123" s="11"/>
      <c r="I123" s="33">
        <v>-0.87497000000000003</v>
      </c>
      <c r="J123" s="35">
        <f t="shared" si="4"/>
        <v>12.056749999999999</v>
      </c>
      <c r="K123" s="35">
        <f t="shared" si="5"/>
        <v>0.28284271247461928</v>
      </c>
    </row>
    <row r="124" spans="3:11" x14ac:dyDescent="0.2">
      <c r="C124" s="10"/>
      <c r="D124" s="13">
        <v>14.148999999999999</v>
      </c>
      <c r="E124" s="13">
        <v>14.821999999999999</v>
      </c>
      <c r="F124" s="13">
        <v>15.576000000000001</v>
      </c>
      <c r="G124" s="13">
        <v>16.167000000000002</v>
      </c>
      <c r="H124" s="11"/>
      <c r="I124" s="33">
        <v>-0.66363000000000005</v>
      </c>
      <c r="J124" s="35">
        <f t="shared" si="4"/>
        <v>15.1785</v>
      </c>
      <c r="K124" s="35">
        <f t="shared" si="5"/>
        <v>0.41790010768125035</v>
      </c>
    </row>
    <row r="125" spans="3:11" x14ac:dyDescent="0.2">
      <c r="C125" s="10"/>
      <c r="D125" s="13">
        <v>14.798999999999999</v>
      </c>
      <c r="E125" s="13">
        <v>15.627000000000001</v>
      </c>
      <c r="F125" s="13">
        <v>16.506</v>
      </c>
      <c r="G125" s="13">
        <v>17.417999999999999</v>
      </c>
      <c r="H125" s="11"/>
      <c r="I125" s="33">
        <v>-0.45818999999999999</v>
      </c>
      <c r="J125" s="35">
        <f t="shared" si="4"/>
        <v>16.087499999999999</v>
      </c>
      <c r="K125" s="35">
        <f t="shared" si="5"/>
        <v>0.64488138444213072</v>
      </c>
    </row>
    <row r="126" spans="3:11" x14ac:dyDescent="0.2">
      <c r="C126" s="10"/>
      <c r="D126" s="13">
        <v>15.488</v>
      </c>
      <c r="E126" s="13">
        <v>16.452999999999999</v>
      </c>
      <c r="F126" s="13">
        <v>17.134</v>
      </c>
      <c r="G126" s="13">
        <v>18.079999999999998</v>
      </c>
      <c r="H126" s="11"/>
      <c r="I126" s="33">
        <v>-0.25524999999999998</v>
      </c>
      <c r="J126" s="35">
        <f t="shared" si="4"/>
        <v>16.78875</v>
      </c>
      <c r="K126" s="35">
        <f t="shared" si="5"/>
        <v>0.66892301500247253</v>
      </c>
    </row>
    <row r="127" spans="3:11" x14ac:dyDescent="0.2">
      <c r="C127" s="10"/>
      <c r="D127" s="13">
        <v>15.318</v>
      </c>
      <c r="E127" s="13">
        <v>16.744</v>
      </c>
      <c r="F127" s="13">
        <v>17.273</v>
      </c>
      <c r="G127" s="13">
        <v>18.323</v>
      </c>
      <c r="H127" s="11"/>
      <c r="I127" s="33">
        <v>-5.8694000000000003E-2</v>
      </c>
      <c r="J127" s="35">
        <f t="shared" si="4"/>
        <v>16.914499999999997</v>
      </c>
      <c r="K127" s="35">
        <f t="shared" si="5"/>
        <v>0.74246212024587532</v>
      </c>
    </row>
    <row r="128" spans="3:11" x14ac:dyDescent="0.2">
      <c r="C128" s="10"/>
      <c r="D128" s="13">
        <v>15.194000000000001</v>
      </c>
      <c r="E128" s="13">
        <v>16.696000000000002</v>
      </c>
      <c r="F128" s="13">
        <v>17.216999999999999</v>
      </c>
      <c r="G128" s="13">
        <v>18.291</v>
      </c>
      <c r="H128" s="11"/>
      <c r="I128" s="33">
        <v>0</v>
      </c>
      <c r="J128" s="35">
        <f t="shared" si="4"/>
        <v>16.849499999999999</v>
      </c>
      <c r="K128" s="35">
        <f t="shared" si="5"/>
        <v>0.75943268299435318</v>
      </c>
    </row>
    <row r="129" spans="3:11" x14ac:dyDescent="0.2">
      <c r="C129" s="10"/>
      <c r="D129" s="13">
        <v>15.141</v>
      </c>
      <c r="E129" s="13">
        <v>16.632999999999999</v>
      </c>
      <c r="F129" s="13">
        <v>17.129000000000001</v>
      </c>
      <c r="G129" s="13">
        <v>18.16</v>
      </c>
      <c r="H129" s="11"/>
      <c r="I129" s="33">
        <v>9.7212999999999994E-2</v>
      </c>
      <c r="J129" s="35">
        <f t="shared" si="4"/>
        <v>16.765750000000001</v>
      </c>
      <c r="K129" s="35">
        <f t="shared" si="5"/>
        <v>0.72902709140332966</v>
      </c>
    </row>
    <row r="130" spans="3:11" x14ac:dyDescent="0.2">
      <c r="C130" s="10"/>
      <c r="D130" s="13">
        <v>15.648999999999999</v>
      </c>
      <c r="E130" s="13">
        <v>16.856000000000002</v>
      </c>
      <c r="F130" s="13">
        <v>16.457999999999998</v>
      </c>
      <c r="G130" s="13">
        <v>17.042999999999999</v>
      </c>
      <c r="H130" s="11"/>
      <c r="I130" s="33">
        <v>0.49448999999999999</v>
      </c>
      <c r="J130" s="35">
        <f t="shared" si="4"/>
        <v>16.5015</v>
      </c>
      <c r="K130" s="35">
        <f t="shared" si="5"/>
        <v>0.41365746699413092</v>
      </c>
    </row>
    <row r="131" spans="3:11" x14ac:dyDescent="0.2">
      <c r="C131" s="10"/>
      <c r="D131" s="13">
        <v>14.973000000000001</v>
      </c>
      <c r="E131" s="13">
        <v>15.574</v>
      </c>
      <c r="F131" s="13">
        <v>15.159000000000001</v>
      </c>
      <c r="G131" s="13">
        <v>15.722</v>
      </c>
      <c r="H131" s="11"/>
      <c r="I131" s="33">
        <v>0.71579999999999999</v>
      </c>
      <c r="J131" s="35">
        <f t="shared" si="4"/>
        <v>15.357000000000001</v>
      </c>
      <c r="K131" s="35">
        <f t="shared" si="5"/>
        <v>0.39810111780802543</v>
      </c>
    </row>
    <row r="132" spans="3:11" x14ac:dyDescent="0.2">
      <c r="C132" s="10"/>
      <c r="D132" s="13">
        <v>13.05</v>
      </c>
      <c r="E132" s="13">
        <v>13.545</v>
      </c>
      <c r="F132" s="13">
        <v>12.943</v>
      </c>
      <c r="G132" s="13">
        <v>13.413</v>
      </c>
      <c r="H132" s="11"/>
      <c r="I132" s="33">
        <v>0.88592000000000004</v>
      </c>
      <c r="J132" s="35">
        <f t="shared" si="4"/>
        <v>13.237749999999998</v>
      </c>
      <c r="K132" s="35">
        <f t="shared" si="5"/>
        <v>0.33234018715767777</v>
      </c>
    </row>
    <row r="133" spans="3:11" x14ac:dyDescent="0.2">
      <c r="C133" s="10"/>
      <c r="D133" s="13">
        <v>10.157999999999999</v>
      </c>
      <c r="E133" s="13">
        <v>9.9746000000000006</v>
      </c>
      <c r="F133" s="13">
        <v>8.3536999999999999</v>
      </c>
      <c r="G133" s="13">
        <v>8.7654999999999994</v>
      </c>
      <c r="H133" s="11"/>
      <c r="I133" s="33">
        <v>1.1447000000000001</v>
      </c>
      <c r="J133" s="35">
        <f t="shared" si="4"/>
        <v>9.3129500000000007</v>
      </c>
      <c r="K133" s="35">
        <f t="shared" si="5"/>
        <v>0.29118657249261992</v>
      </c>
    </row>
    <row r="134" spans="3:11" x14ac:dyDescent="0.2">
      <c r="C134" s="10"/>
      <c r="D134" s="13">
        <v>6.798</v>
      </c>
      <c r="E134" s="13">
        <v>6.1207000000000003</v>
      </c>
      <c r="F134" s="13">
        <v>4.3308999999999997</v>
      </c>
      <c r="G134" s="13">
        <v>5.2055999999999996</v>
      </c>
      <c r="H134" s="11"/>
      <c r="I134" s="33">
        <v>1.3154999999999999</v>
      </c>
      <c r="J134" s="35">
        <f t="shared" si="4"/>
        <v>5.6138000000000003</v>
      </c>
      <c r="K134" s="35">
        <f t="shared" si="5"/>
        <v>0.61850630150387298</v>
      </c>
    </row>
    <row r="135" spans="3:11" x14ac:dyDescent="0.2">
      <c r="C135" s="10"/>
      <c r="D135" s="13">
        <v>2.5750999999999999</v>
      </c>
      <c r="E135" s="13">
        <v>2.0301</v>
      </c>
      <c r="F135" s="13">
        <v>0.46113999999999999</v>
      </c>
      <c r="G135" s="13">
        <v>1.8066</v>
      </c>
      <c r="H135" s="11"/>
      <c r="I135" s="33">
        <v>1.4963</v>
      </c>
      <c r="J135" s="35">
        <f t="shared" si="4"/>
        <v>1.718235</v>
      </c>
      <c r="K135" s="35">
        <f t="shared" si="5"/>
        <v>0.95138388981525213</v>
      </c>
    </row>
    <row r="136" spans="3:11" x14ac:dyDescent="0.2">
      <c r="C136" s="10"/>
      <c r="D136" s="13">
        <v>0.44674999999999998</v>
      </c>
      <c r="E136" s="13">
        <v>3.4054000000000001E-2</v>
      </c>
      <c r="F136" s="13">
        <v>-1.2846</v>
      </c>
      <c r="G136" s="13">
        <v>0.20992</v>
      </c>
      <c r="H136" s="11"/>
      <c r="I136" s="33">
        <v>1.6198999999999999</v>
      </c>
      <c r="J136" s="35">
        <f t="shared" si="4"/>
        <v>-0.14846899999999999</v>
      </c>
      <c r="K136" s="35">
        <f t="shared" si="5"/>
        <v>1.056785226618919</v>
      </c>
    </row>
    <row r="137" spans="3:11" x14ac:dyDescent="0.2">
      <c r="C137" s="10"/>
      <c r="D137" s="13">
        <v>-0.95979999999999999</v>
      </c>
      <c r="E137" s="13">
        <v>-1.3070999999999999</v>
      </c>
      <c r="F137" s="13">
        <v>-2.7269000000000001</v>
      </c>
      <c r="G137" s="13">
        <v>-1.5676000000000001</v>
      </c>
      <c r="H137" s="11"/>
      <c r="I137" s="33">
        <v>1.7923</v>
      </c>
      <c r="J137" s="35">
        <f t="shared" si="4"/>
        <v>-1.6403500000000002</v>
      </c>
      <c r="K137" s="35">
        <f t="shared" si="5"/>
        <v>0.81974889142956542</v>
      </c>
    </row>
    <row r="138" spans="3:11" x14ac:dyDescent="0.2">
      <c r="C138" s="10"/>
      <c r="D138" s="13">
        <v>-0.65583999999999998</v>
      </c>
      <c r="E138" s="13">
        <v>-0.69525999999999999</v>
      </c>
      <c r="F138" s="13">
        <v>-2.4369000000000001</v>
      </c>
      <c r="G138" s="13">
        <v>-2.2219000000000002</v>
      </c>
      <c r="H138" s="11"/>
      <c r="I138" s="33">
        <v>2.0019999999999998</v>
      </c>
      <c r="J138" s="35">
        <f t="shared" si="4"/>
        <v>-1.502475</v>
      </c>
      <c r="K138" s="35">
        <f t="shared" si="5"/>
        <v>0.15202795795510762</v>
      </c>
    </row>
    <row r="139" spans="3:11" x14ac:dyDescent="0.2">
      <c r="C139" s="10"/>
      <c r="D139" s="13">
        <v>0.73146999999999995</v>
      </c>
      <c r="E139" s="13">
        <v>0.79959999999999998</v>
      </c>
      <c r="F139" s="13">
        <v>-0.86065999999999998</v>
      </c>
      <c r="G139" s="13">
        <v>-1.1822999999999999</v>
      </c>
      <c r="H139" s="11"/>
      <c r="I139" s="33">
        <v>2.1937000000000002</v>
      </c>
      <c r="J139" s="35">
        <f t="shared" si="4"/>
        <v>-0.12797249999999999</v>
      </c>
      <c r="K139" s="35">
        <f t="shared" si="5"/>
        <v>0.22743382510084098</v>
      </c>
    </row>
    <row r="140" spans="3:11" x14ac:dyDescent="0.2">
      <c r="C140" s="10"/>
      <c r="D140" s="13">
        <v>3.2704</v>
      </c>
      <c r="E140" s="13">
        <v>3.5657999999999999</v>
      </c>
      <c r="F140" s="13">
        <v>1.8408</v>
      </c>
      <c r="G140" s="13">
        <v>1.1191</v>
      </c>
      <c r="H140" s="11"/>
      <c r="I140" s="33">
        <v>2.4367999999999999</v>
      </c>
      <c r="J140" s="35">
        <f t="shared" si="4"/>
        <v>2.4490249999999998</v>
      </c>
      <c r="K140" s="35">
        <f t="shared" si="5"/>
        <v>0.51031896398233056</v>
      </c>
    </row>
    <row r="141" spans="3:11" x14ac:dyDescent="0.2">
      <c r="C141" s="10"/>
      <c r="D141" s="13">
        <v>4.2564000000000002</v>
      </c>
      <c r="E141" s="13">
        <v>5.1604999999999999</v>
      </c>
      <c r="F141" s="13">
        <v>3.5470999999999999</v>
      </c>
      <c r="G141" s="13">
        <v>2.6747000000000001</v>
      </c>
      <c r="H141" s="11"/>
      <c r="I141" s="33">
        <v>2.6254</v>
      </c>
      <c r="J141" s="35">
        <f t="shared" si="4"/>
        <v>3.909675</v>
      </c>
      <c r="K141" s="35">
        <f t="shared" si="5"/>
        <v>0.61687995590714251</v>
      </c>
    </row>
    <row r="142" spans="3:11" x14ac:dyDescent="0.2">
      <c r="C142" s="10"/>
      <c r="D142" s="13">
        <v>4.3053999999999997</v>
      </c>
      <c r="E142" s="13">
        <v>5.1814</v>
      </c>
      <c r="F142" s="13">
        <v>3.8477999999999999</v>
      </c>
      <c r="G142" s="13">
        <v>3.0922000000000001</v>
      </c>
      <c r="H142" s="11"/>
      <c r="I142" s="33">
        <v>2.8168000000000002</v>
      </c>
      <c r="J142" s="35">
        <f t="shared" si="4"/>
        <v>4.1067</v>
      </c>
      <c r="K142" s="35">
        <f t="shared" si="5"/>
        <v>0.53428988386455667</v>
      </c>
    </row>
    <row r="143" spans="3:11" x14ac:dyDescent="0.2">
      <c r="C143" s="10"/>
      <c r="D143" s="13">
        <v>4.0324</v>
      </c>
      <c r="E143" s="13">
        <v>4.6254999999999997</v>
      </c>
      <c r="F143" s="13">
        <v>3.3580999999999999</v>
      </c>
      <c r="G143" s="13">
        <v>2.6341000000000001</v>
      </c>
      <c r="H143" s="11"/>
      <c r="I143" s="33">
        <v>3.0286</v>
      </c>
      <c r="J143" s="35">
        <f t="shared" si="4"/>
        <v>3.662525</v>
      </c>
      <c r="K143" s="35">
        <f t="shared" si="5"/>
        <v>0.51194530957905549</v>
      </c>
    </row>
    <row r="144" spans="3:11" x14ac:dyDescent="0.2">
      <c r="C144" s="10"/>
      <c r="D144" s="13">
        <v>3.8060999999999998</v>
      </c>
      <c r="E144" s="13">
        <v>4.3742000000000001</v>
      </c>
      <c r="F144" s="13">
        <v>3.1395</v>
      </c>
      <c r="G144" s="13">
        <v>2.4045000000000001</v>
      </c>
      <c r="H144" s="11"/>
      <c r="I144" s="33">
        <v>3.1785000000000001</v>
      </c>
      <c r="J144" s="35">
        <f t="shared" si="4"/>
        <v>3.4310749999999999</v>
      </c>
      <c r="K144" s="35">
        <f t="shared" si="5"/>
        <v>0.51972348417211045</v>
      </c>
    </row>
    <row r="145" spans="3:11" x14ac:dyDescent="0.2">
      <c r="C145" s="11"/>
      <c r="D145" s="13">
        <v>3.6638000000000002</v>
      </c>
      <c r="E145" s="13">
        <v>4.28</v>
      </c>
      <c r="F145" s="13">
        <v>3.0392000000000001</v>
      </c>
      <c r="G145" s="13">
        <v>2.3157999999999999</v>
      </c>
      <c r="H145" s="11"/>
      <c r="I145" s="33">
        <v>3.3159000000000001</v>
      </c>
      <c r="J145" s="35">
        <f t="shared" si="4"/>
        <v>3.3247</v>
      </c>
      <c r="K145" s="35">
        <f t="shared" si="5"/>
        <v>0.51152104551034461</v>
      </c>
    </row>
    <row r="146" spans="3:11" x14ac:dyDescent="0.2">
      <c r="D146" s="13">
        <v>3.6417999999999999</v>
      </c>
      <c r="E146" s="13">
        <v>4.3234000000000004</v>
      </c>
      <c r="F146" s="13">
        <v>3.0503999999999998</v>
      </c>
      <c r="G146" s="13">
        <v>2.3307000000000002</v>
      </c>
      <c r="I146" s="33">
        <v>3.4771999999999998</v>
      </c>
      <c r="J146" s="35">
        <f t="shared" si="4"/>
        <v>3.3365749999999998</v>
      </c>
      <c r="K146" s="35">
        <f t="shared" si="5"/>
        <v>0.50890475041995831</v>
      </c>
    </row>
    <row r="147" spans="3:11" x14ac:dyDescent="0.2">
      <c r="D147" s="13">
        <v>3.6088</v>
      </c>
      <c r="E147" s="13">
        <v>4.3407999999999998</v>
      </c>
      <c r="F147" s="13">
        <v>3.0407000000000002</v>
      </c>
      <c r="G147" s="13">
        <v>2.3260000000000001</v>
      </c>
      <c r="I147" s="33">
        <v>3.6697000000000002</v>
      </c>
      <c r="J147" s="35">
        <f t="shared" si="4"/>
        <v>3.3290750000000005</v>
      </c>
      <c r="K147" s="35">
        <f t="shared" si="5"/>
        <v>0.505369216514027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BE0A5-161C-9744-A03E-0A3F0B625A1E}">
  <dimension ref="A1:E15"/>
  <sheetViews>
    <sheetView zoomScale="131" workbookViewId="0">
      <selection activeCell="O121" sqref="O121"/>
    </sheetView>
  </sheetViews>
  <sheetFormatPr baseColWidth="10" defaultRowHeight="16" x14ac:dyDescent="0.2"/>
  <cols>
    <col min="3" max="3" width="13.6640625" customWidth="1"/>
  </cols>
  <sheetData>
    <row r="1" spans="1:5" ht="19" x14ac:dyDescent="0.25">
      <c r="A1" s="42" t="s">
        <v>24</v>
      </c>
      <c r="B1" s="42" t="s">
        <v>25</v>
      </c>
      <c r="C1" s="43" t="s">
        <v>30</v>
      </c>
    </row>
    <row r="2" spans="1:5" ht="19" x14ac:dyDescent="0.25">
      <c r="A2" s="44">
        <f>0.0155</f>
        <v>1.55E-2</v>
      </c>
      <c r="B2" s="44">
        <v>1.1000000000000001E-3</v>
      </c>
      <c r="C2" s="45">
        <f>A2/B2</f>
        <v>14.09090909090909</v>
      </c>
      <c r="E2" s="43" t="s">
        <v>7</v>
      </c>
    </row>
    <row r="3" spans="1:5" ht="19" x14ac:dyDescent="0.25">
      <c r="A3" s="44">
        <f>0.000607</f>
        <v>6.0700000000000001E-4</v>
      </c>
      <c r="B3" s="44">
        <v>2.0999999999999999E-5</v>
      </c>
      <c r="C3" s="45">
        <f t="shared" ref="C3:C4" si="0">A3/B3</f>
        <v>28.904761904761905</v>
      </c>
      <c r="E3" s="43" t="s">
        <v>10</v>
      </c>
    </row>
    <row r="4" spans="1:5" ht="19" x14ac:dyDescent="0.25">
      <c r="A4" s="44">
        <f>0.0000116</f>
        <v>1.1600000000000001E-5</v>
      </c>
      <c r="B4" s="44">
        <v>1.86E-6</v>
      </c>
      <c r="C4" s="45">
        <f t="shared" si="0"/>
        <v>6.2365591397849469</v>
      </c>
      <c r="E4" s="43" t="s">
        <v>9</v>
      </c>
    </row>
    <row r="6" spans="1:5" ht="19" x14ac:dyDescent="0.25">
      <c r="A6" s="42"/>
      <c r="B6" s="42"/>
      <c r="C6" s="43"/>
      <c r="D6" s="43"/>
      <c r="E6" s="43"/>
    </row>
    <row r="7" spans="1:5" ht="19" x14ac:dyDescent="0.25">
      <c r="A7" s="44"/>
      <c r="B7" s="44"/>
      <c r="C7" s="45"/>
      <c r="D7" s="43"/>
      <c r="E7" s="43"/>
    </row>
    <row r="8" spans="1:5" ht="19" x14ac:dyDescent="0.25">
      <c r="A8" s="44"/>
      <c r="B8" s="44"/>
      <c r="C8" s="45"/>
      <c r="D8" s="43"/>
      <c r="E8" s="43"/>
    </row>
    <row r="9" spans="1:5" ht="19" x14ac:dyDescent="0.25">
      <c r="A9" s="44"/>
      <c r="B9" s="44"/>
      <c r="C9" s="45"/>
      <c r="D9" s="43"/>
      <c r="E9" s="43"/>
    </row>
    <row r="10" spans="1:5" ht="19" x14ac:dyDescent="0.25">
      <c r="A10" s="42"/>
      <c r="B10" s="42"/>
      <c r="C10" s="43"/>
      <c r="D10" s="43"/>
      <c r="E10" s="43"/>
    </row>
    <row r="11" spans="1:5" ht="19" x14ac:dyDescent="0.25">
      <c r="A11" s="43"/>
      <c r="B11" s="43"/>
      <c r="C11" s="43"/>
      <c r="D11" s="43"/>
      <c r="E11" s="43"/>
    </row>
    <row r="12" spans="1:5" ht="20" x14ac:dyDescent="0.25">
      <c r="A12" s="42" t="s">
        <v>25</v>
      </c>
      <c r="B12" s="46" t="s">
        <v>26</v>
      </c>
      <c r="C12" s="43"/>
      <c r="D12" s="43"/>
      <c r="E12" s="43"/>
    </row>
    <row r="13" spans="1:5" ht="23" x14ac:dyDescent="0.25">
      <c r="A13" s="46" t="s">
        <v>27</v>
      </c>
      <c r="B13" s="46">
        <v>13.3</v>
      </c>
      <c r="C13" s="43"/>
      <c r="D13" s="43"/>
      <c r="E13" s="43"/>
    </row>
    <row r="14" spans="1:5" ht="23" x14ac:dyDescent="0.25">
      <c r="A14" s="46" t="s">
        <v>28</v>
      </c>
      <c r="B14" s="46">
        <v>19.399999999999999</v>
      </c>
      <c r="C14" s="43"/>
      <c r="D14" s="43"/>
      <c r="E14" s="43"/>
    </row>
    <row r="15" spans="1:5" ht="23" x14ac:dyDescent="0.25">
      <c r="A15" s="46" t="s">
        <v>29</v>
      </c>
      <c r="B15" s="46">
        <v>31.9</v>
      </c>
      <c r="C15" s="43"/>
      <c r="D15" s="43"/>
      <c r="E15" s="4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2AFE62-15EF-8543-BDBF-108B7A0DDAD2}">
  <dimension ref="A1:AV94"/>
  <sheetViews>
    <sheetView zoomScale="50" workbookViewId="0">
      <selection activeCell="N75" sqref="N75"/>
    </sheetView>
  </sheetViews>
  <sheetFormatPr baseColWidth="10" defaultRowHeight="16" x14ac:dyDescent="0.2"/>
  <cols>
    <col min="1" max="1" width="13.6640625" bestFit="1" customWidth="1"/>
    <col min="3" max="3" width="16.1640625" bestFit="1" customWidth="1"/>
    <col min="6" max="6" width="18.33203125" customWidth="1"/>
    <col min="7" max="7" width="13.33203125" bestFit="1" customWidth="1"/>
    <col min="9" max="9" width="21.33203125" customWidth="1"/>
    <col min="10" max="10" width="12.33203125" customWidth="1"/>
    <col min="11" max="11" width="14.83203125" customWidth="1"/>
    <col min="13" max="13" width="15.5" customWidth="1"/>
    <col min="14" max="14" width="21.5" customWidth="1"/>
    <col min="16" max="16" width="13.33203125" bestFit="1" customWidth="1"/>
    <col min="17" max="19" width="11" bestFit="1" customWidth="1"/>
    <col min="20" max="20" width="11" customWidth="1"/>
    <col min="21" max="21" width="12.83203125" bestFit="1" customWidth="1"/>
    <col min="22" max="22" width="12.5" bestFit="1" customWidth="1"/>
    <col min="24" max="24" width="14" bestFit="1" customWidth="1"/>
    <col min="26" max="26" width="11" bestFit="1" customWidth="1"/>
    <col min="27" max="27" width="12.6640625" bestFit="1" customWidth="1"/>
    <col min="28" max="28" width="12.5" bestFit="1" customWidth="1"/>
    <col min="29" max="29" width="11.33203125" bestFit="1" customWidth="1"/>
    <col min="30" max="30" width="17.6640625" customWidth="1"/>
    <col min="31" max="31" width="12" customWidth="1"/>
    <col min="32" max="32" width="9.6640625" customWidth="1"/>
    <col min="35" max="35" width="16.83203125" customWidth="1"/>
    <col min="36" max="36" width="11" bestFit="1" customWidth="1"/>
    <col min="37" max="37" width="14.33203125" customWidth="1"/>
    <col min="38" max="38" width="18" customWidth="1"/>
    <col min="39" max="39" width="17" customWidth="1"/>
    <col min="40" max="40" width="12.5" bestFit="1" customWidth="1"/>
    <col min="41" max="41" width="12.1640625" bestFit="1" customWidth="1"/>
    <col min="45" max="45" width="12.1640625" bestFit="1" customWidth="1"/>
    <col min="48" max="48" width="12.83203125" bestFit="1" customWidth="1"/>
  </cols>
  <sheetData>
    <row r="1" spans="2:37" x14ac:dyDescent="0.2">
      <c r="Q1" s="9" t="s">
        <v>10</v>
      </c>
      <c r="AB1" s="9" t="s">
        <v>9</v>
      </c>
      <c r="AE1" s="1"/>
      <c r="AF1" s="1"/>
    </row>
    <row r="2" spans="2:37" x14ac:dyDescent="0.2">
      <c r="C2" s="9" t="s">
        <v>7</v>
      </c>
      <c r="Q2" s="12"/>
      <c r="AE2" s="1"/>
      <c r="AF2" s="1"/>
    </row>
    <row r="3" spans="2:37" x14ac:dyDescent="0.2">
      <c r="P3" s="29" t="s">
        <v>18</v>
      </c>
      <c r="Q3" s="17" t="s">
        <v>13</v>
      </c>
      <c r="R3" s="17" t="s">
        <v>14</v>
      </c>
      <c r="AA3" s="29" t="s">
        <v>18</v>
      </c>
      <c r="AB3" s="17" t="s">
        <v>13</v>
      </c>
      <c r="AC3" s="17" t="s">
        <v>14</v>
      </c>
      <c r="AD3" s="18" t="s">
        <v>15</v>
      </c>
      <c r="AE3" s="1"/>
      <c r="AF3" s="1"/>
    </row>
    <row r="4" spans="2:37" x14ac:dyDescent="0.2">
      <c r="B4" s="29" t="s">
        <v>18</v>
      </c>
      <c r="C4" s="17" t="s">
        <v>13</v>
      </c>
      <c r="D4" s="17" t="s">
        <v>14</v>
      </c>
      <c r="E4" s="18"/>
      <c r="P4" s="38">
        <v>-3.6023999999999998</v>
      </c>
      <c r="Q4" s="47">
        <v>1.51987552235073E-5</v>
      </c>
      <c r="R4" s="47">
        <v>1.8049132037172099E-5</v>
      </c>
      <c r="T4" s="12"/>
      <c r="V4" s="30">
        <f>P4</f>
        <v>-3.6023999999999998</v>
      </c>
      <c r="W4" s="1">
        <f>Q4</f>
        <v>1.51987552235073E-5</v>
      </c>
      <c r="X4" s="13">
        <f>STDEV(Q4:R4)</f>
        <v>2.015520773879284E-6</v>
      </c>
      <c r="Y4" s="1"/>
      <c r="AA4" s="38">
        <v>-3.645</v>
      </c>
      <c r="AB4" s="12">
        <v>3.1305668074971699E-5</v>
      </c>
      <c r="AC4" s="12">
        <v>3.1198898143966102E-5</v>
      </c>
      <c r="AD4" s="12">
        <v>1.9033538281046401E-8</v>
      </c>
      <c r="AE4" s="1"/>
      <c r="AF4" s="1"/>
      <c r="AH4" s="30">
        <f>AA4</f>
        <v>-3.645</v>
      </c>
      <c r="AI4" s="1">
        <f>AB4</f>
        <v>3.1305668074971699E-5</v>
      </c>
      <c r="AJ4" s="1">
        <f>STDEV(AB4,AC4)</f>
        <v>7.5497742240877492E-8</v>
      </c>
      <c r="AK4" s="1"/>
    </row>
    <row r="5" spans="2:37" x14ac:dyDescent="0.2">
      <c r="B5" s="38">
        <v>-3.4807999999999999</v>
      </c>
      <c r="C5" s="47">
        <v>5.0031459699147701E-5</v>
      </c>
      <c r="D5" s="48">
        <v>6.3123006451794203E-5</v>
      </c>
      <c r="E5" s="12"/>
      <c r="I5" s="30">
        <f>B5</f>
        <v>-3.4807999999999999</v>
      </c>
      <c r="J5" s="1">
        <f>C5</f>
        <v>5.0031459699147701E-5</v>
      </c>
      <c r="K5" s="1">
        <f>STDEV(C5,D5)</f>
        <v>9.2571214850170666E-6</v>
      </c>
      <c r="L5" s="30">
        <f>I5</f>
        <v>-3.4807999999999999</v>
      </c>
      <c r="M5" s="1">
        <f>L51</f>
        <v>0</v>
      </c>
      <c r="N5" s="1">
        <f>STDEV(J5,M5)</f>
        <v>3.5377584425928804E-5</v>
      </c>
      <c r="P5" s="38">
        <v>-3.3755000000000002</v>
      </c>
      <c r="Q5" s="47">
        <v>1.73221688963905E-5</v>
      </c>
      <c r="R5" s="47">
        <v>1.5344767662933002E-5</v>
      </c>
      <c r="T5" s="12"/>
      <c r="V5" s="30">
        <f t="shared" ref="V5:W42" si="0">P5</f>
        <v>-3.3755000000000002</v>
      </c>
      <c r="W5" s="1">
        <f t="shared" si="0"/>
        <v>1.73221688963905E-5</v>
      </c>
      <c r="X5" s="13">
        <f t="shared" ref="X5:X42" si="1">STDEV(Q5:R5)</f>
        <v>1.3982338213044404E-6</v>
      </c>
      <c r="Y5" s="1"/>
      <c r="AA5" s="38">
        <v>-3.4379</v>
      </c>
      <c r="AB5" s="12">
        <v>1.0460256758910199E-5</v>
      </c>
      <c r="AC5" s="12">
        <v>1.22992374615128E-5</v>
      </c>
      <c r="AD5" s="12">
        <v>2.1411082147357301E-8</v>
      </c>
      <c r="AE5" s="1"/>
      <c r="AF5" s="1"/>
      <c r="AH5" s="30">
        <f t="shared" ref="AH5:AI43" si="2">AA5</f>
        <v>-3.4379</v>
      </c>
      <c r="AI5" s="1">
        <f t="shared" si="2"/>
        <v>1.0460256758910199E-5</v>
      </c>
      <c r="AJ5" s="1">
        <f t="shared" ref="AJ5:AJ43" si="3">STDEV(AB5,AC5)</f>
        <v>1.3003557252815005E-6</v>
      </c>
      <c r="AK5" s="1"/>
    </row>
    <row r="6" spans="2:37" x14ac:dyDescent="0.2">
      <c r="B6" s="38">
        <v>-3.2921</v>
      </c>
      <c r="C6" s="47">
        <v>3.20440159587961E-5</v>
      </c>
      <c r="D6" s="48">
        <v>3.3873609035061999E-5</v>
      </c>
      <c r="E6" s="12"/>
      <c r="I6" s="30">
        <f t="shared" ref="I6:J43" si="4">B6</f>
        <v>-3.2921</v>
      </c>
      <c r="J6" s="1">
        <f t="shared" si="4"/>
        <v>3.20440159587961E-5</v>
      </c>
      <c r="K6" s="1">
        <f t="shared" ref="K6:K43" si="5">STDEV(C6,D6)</f>
        <v>1.2937176710395734E-6</v>
      </c>
      <c r="L6" s="30">
        <f t="shared" ref="L6:L43" si="6">I6</f>
        <v>-3.2921</v>
      </c>
      <c r="M6" s="1">
        <f t="shared" ref="M6:M43" si="7">L52</f>
        <v>0</v>
      </c>
      <c r="N6" s="1">
        <f t="shared" ref="N6:N43" si="8">STDEV(J6,M6)</f>
        <v>2.2658540980914669E-5</v>
      </c>
      <c r="P6" s="38">
        <v>-3.2433999999999998</v>
      </c>
      <c r="Q6" s="47">
        <v>6.6377629470578699E-6</v>
      </c>
      <c r="R6" s="47">
        <v>9.0871805363024294E-6</v>
      </c>
      <c r="T6" s="12"/>
      <c r="V6" s="30">
        <f t="shared" si="0"/>
        <v>-3.2433999999999998</v>
      </c>
      <c r="W6" s="1">
        <f t="shared" si="0"/>
        <v>6.6377629470578699E-6</v>
      </c>
      <c r="X6" s="13">
        <f t="shared" si="1"/>
        <v>1.7319997873124335E-6</v>
      </c>
      <c r="Y6" s="1"/>
      <c r="AA6" s="38">
        <v>-3.2467999999999999</v>
      </c>
      <c r="AB6" s="12">
        <v>6.0110950465239102E-6</v>
      </c>
      <c r="AC6" s="12">
        <v>7.0134720544153099E-6</v>
      </c>
      <c r="AD6" s="12">
        <v>5.6341740600749699E-8</v>
      </c>
      <c r="AE6" s="1"/>
      <c r="AF6" s="1"/>
      <c r="AH6" s="30">
        <f t="shared" si="2"/>
        <v>-3.2467999999999999</v>
      </c>
      <c r="AI6" s="1">
        <f t="shared" si="2"/>
        <v>6.0110950465239102E-6</v>
      </c>
      <c r="AJ6" s="1">
        <f t="shared" si="3"/>
        <v>7.0878757958549028E-7</v>
      </c>
      <c r="AK6" s="1"/>
    </row>
    <row r="7" spans="2:37" x14ac:dyDescent="0.2">
      <c r="B7" s="38">
        <v>-3.1227</v>
      </c>
      <c r="C7" s="47">
        <v>4.2337123666558003E-5</v>
      </c>
      <c r="D7" s="48">
        <v>2.8963726111262399E-5</v>
      </c>
      <c r="E7" s="12"/>
      <c r="I7" s="30">
        <f t="shared" si="4"/>
        <v>-3.1227</v>
      </c>
      <c r="J7" s="1">
        <f t="shared" si="4"/>
        <v>4.2337123666558003E-5</v>
      </c>
      <c r="K7" s="1">
        <f t="shared" si="5"/>
        <v>9.4564200988531185E-6</v>
      </c>
      <c r="L7" s="30">
        <f t="shared" si="6"/>
        <v>-3.1227</v>
      </c>
      <c r="M7" s="1">
        <f t="shared" si="7"/>
        <v>0</v>
      </c>
      <c r="N7" s="1">
        <f t="shared" si="8"/>
        <v>2.9936867240556633E-5</v>
      </c>
      <c r="P7" s="38">
        <v>-3.0670999999999999</v>
      </c>
      <c r="Q7" s="47">
        <v>5.0827534450583397E-6</v>
      </c>
      <c r="R7" s="47">
        <v>4.7950591482616896E-6</v>
      </c>
      <c r="T7" s="12"/>
      <c r="V7" s="30">
        <f t="shared" si="0"/>
        <v>-3.0670999999999999</v>
      </c>
      <c r="W7" s="1">
        <f t="shared" si="0"/>
        <v>5.0827534450583397E-6</v>
      </c>
      <c r="X7" s="13">
        <f t="shared" si="1"/>
        <v>2.0343058817360647E-7</v>
      </c>
      <c r="Y7" s="1"/>
      <c r="AA7" s="38">
        <v>-3.0259</v>
      </c>
      <c r="AB7" s="12">
        <v>3.4262711605936698E-6</v>
      </c>
      <c r="AC7" s="12">
        <v>3.5750732770543598E-6</v>
      </c>
      <c r="AD7" s="12">
        <v>1.6559573119594699E-7</v>
      </c>
      <c r="AE7" s="1"/>
      <c r="AF7" s="1"/>
      <c r="AH7" s="30">
        <f t="shared" si="2"/>
        <v>-3.0259</v>
      </c>
      <c r="AI7" s="1">
        <f t="shared" si="2"/>
        <v>3.4262711605936698E-6</v>
      </c>
      <c r="AJ7" s="1">
        <f t="shared" si="3"/>
        <v>1.0521898560426429E-7</v>
      </c>
      <c r="AK7" s="1"/>
    </row>
    <row r="8" spans="2:37" x14ac:dyDescent="0.2">
      <c r="B8" s="38">
        <v>-2.8963999999999999</v>
      </c>
      <c r="C8" s="47">
        <v>6.7177795391761997E-6</v>
      </c>
      <c r="D8" s="48">
        <v>7.6924585220136098E-6</v>
      </c>
      <c r="E8" s="12"/>
      <c r="I8" s="30">
        <f t="shared" si="4"/>
        <v>-2.8963999999999999</v>
      </c>
      <c r="J8" s="1">
        <f t="shared" si="4"/>
        <v>6.7177795391761997E-6</v>
      </c>
      <c r="K8" s="1">
        <f t="shared" si="5"/>
        <v>6.8920211824433932E-7</v>
      </c>
      <c r="L8" s="30">
        <f t="shared" si="6"/>
        <v>-2.8963999999999999</v>
      </c>
      <c r="M8" s="1">
        <f t="shared" si="7"/>
        <v>0</v>
      </c>
      <c r="N8" s="1">
        <f t="shared" si="8"/>
        <v>4.7501874666677312E-6</v>
      </c>
      <c r="P8" s="38">
        <v>-2.8839999999999999</v>
      </c>
      <c r="Q8" s="47">
        <v>1.24201899037426E-6</v>
      </c>
      <c r="R8" s="47">
        <v>1.36545883866105E-6</v>
      </c>
      <c r="T8" s="12"/>
      <c r="V8" s="30">
        <f t="shared" si="0"/>
        <v>-2.8839999999999999</v>
      </c>
      <c r="W8" s="1">
        <f t="shared" si="0"/>
        <v>1.24201899037426E-6</v>
      </c>
      <c r="X8" s="13">
        <f t="shared" si="1"/>
        <v>8.7285153792227827E-8</v>
      </c>
      <c r="Y8" s="1"/>
      <c r="AA8" s="38">
        <v>-2.8492999999999999</v>
      </c>
      <c r="AB8" s="12">
        <v>1.91223164030535E-6</v>
      </c>
      <c r="AC8" s="12">
        <v>1.85036340433316E-6</v>
      </c>
      <c r="AD8" s="12">
        <v>2.9942863847139597E-7</v>
      </c>
      <c r="AE8" s="1"/>
      <c r="AF8" s="1"/>
      <c r="AH8" s="30">
        <f t="shared" si="2"/>
        <v>-2.8492999999999999</v>
      </c>
      <c r="AI8" s="1">
        <f t="shared" si="2"/>
        <v>1.91223164030535E-6</v>
      </c>
      <c r="AJ8" s="1">
        <f t="shared" si="3"/>
        <v>4.3747449195985023E-8</v>
      </c>
      <c r="AK8" s="1"/>
    </row>
    <row r="9" spans="2:37" x14ac:dyDescent="0.2">
      <c r="B9" s="38">
        <v>-2.7277999999999998</v>
      </c>
      <c r="C9" s="47">
        <v>9.1524925164310199E-6</v>
      </c>
      <c r="D9" s="48">
        <v>7.7243139641471298E-6</v>
      </c>
      <c r="E9" s="12"/>
      <c r="I9" s="30">
        <f t="shared" si="4"/>
        <v>-2.7277999999999998</v>
      </c>
      <c r="J9" s="1">
        <f t="shared" si="4"/>
        <v>9.1524925164310199E-6</v>
      </c>
      <c r="K9" s="1">
        <f>STDEV(C9,D9)</f>
        <v>1.009874739065125E-6</v>
      </c>
      <c r="L9" s="30">
        <f t="shared" si="6"/>
        <v>-2.7277999999999998</v>
      </c>
      <c r="M9" s="1">
        <f t="shared" si="7"/>
        <v>0</v>
      </c>
      <c r="N9" s="1">
        <f t="shared" si="8"/>
        <v>6.4717895231275028E-6</v>
      </c>
      <c r="P9" s="38">
        <v>-2.7086999999999999</v>
      </c>
      <c r="Q9" s="47">
        <v>4.8112479196001399E-7</v>
      </c>
      <c r="R9" s="47">
        <v>5.6163655005579901E-7</v>
      </c>
      <c r="T9" s="12"/>
      <c r="V9" s="30">
        <f t="shared" si="0"/>
        <v>-2.7086999999999999</v>
      </c>
      <c r="W9" s="1">
        <f t="shared" si="0"/>
        <v>4.8112479196001399E-7</v>
      </c>
      <c r="X9" s="13">
        <f t="shared" si="1"/>
        <v>5.6930410114780507E-8</v>
      </c>
      <c r="Y9" s="1"/>
      <c r="AA9" s="38">
        <v>-2.6379999999999999</v>
      </c>
      <c r="AB9" s="12">
        <v>5.2997005842780503E-7</v>
      </c>
      <c r="AC9" s="12">
        <v>5.3908479770025904E-7</v>
      </c>
      <c r="AD9" s="12">
        <v>1.79934884325625E-6</v>
      </c>
      <c r="AE9" s="1"/>
      <c r="AF9" s="1"/>
      <c r="AH9" s="30">
        <f t="shared" si="2"/>
        <v>-2.6379999999999999</v>
      </c>
      <c r="AI9" s="1">
        <f t="shared" si="2"/>
        <v>5.2997005842780503E-7</v>
      </c>
      <c r="AJ9" s="1">
        <f t="shared" si="3"/>
        <v>6.4450939482995732E-9</v>
      </c>
      <c r="AK9" s="1"/>
    </row>
    <row r="10" spans="2:37" x14ac:dyDescent="0.2">
      <c r="B10" s="38">
        <v>-2.5691000000000002</v>
      </c>
      <c r="C10" s="47">
        <v>1.52037210921573E-6</v>
      </c>
      <c r="D10" s="48">
        <v>2.0423455710597702E-6</v>
      </c>
      <c r="E10" s="12"/>
      <c r="I10" s="30">
        <f t="shared" si="4"/>
        <v>-2.5691000000000002</v>
      </c>
      <c r="J10" s="1">
        <f t="shared" si="4"/>
        <v>1.52037210921573E-6</v>
      </c>
      <c r="K10" s="1">
        <f t="shared" si="5"/>
        <v>3.6909097446933843E-7</v>
      </c>
      <c r="L10" s="30">
        <f t="shared" si="6"/>
        <v>-2.5691000000000002</v>
      </c>
      <c r="M10" s="1">
        <f t="shared" si="7"/>
        <v>0</v>
      </c>
      <c r="N10" s="1">
        <f t="shared" si="8"/>
        <v>1.0750654283533369E-6</v>
      </c>
      <c r="P10" s="38">
        <v>-2.5152999999999999</v>
      </c>
      <c r="Q10" s="47">
        <v>2.2156772400107001E-7</v>
      </c>
      <c r="R10" s="47">
        <v>3.1962673679448798E-7</v>
      </c>
      <c r="T10" s="12"/>
      <c r="V10" s="30">
        <f t="shared" si="0"/>
        <v>-2.5152999999999999</v>
      </c>
      <c r="W10" s="1">
        <f t="shared" si="0"/>
        <v>2.2156772400107001E-7</v>
      </c>
      <c r="X10" s="13">
        <f t="shared" si="1"/>
        <v>6.933819290268426E-8</v>
      </c>
      <c r="Y10" s="1"/>
      <c r="AA10" s="38">
        <v>-2.4355000000000002</v>
      </c>
      <c r="AB10" s="12">
        <v>4.4833387881323599E-7</v>
      </c>
      <c r="AC10" s="12">
        <v>5.1044065628168897E-7</v>
      </c>
      <c r="AD10" s="12">
        <v>3.5297231938192998E-6</v>
      </c>
      <c r="AE10" s="1"/>
      <c r="AF10" s="1"/>
      <c r="AH10" s="30">
        <f t="shared" si="2"/>
        <v>-2.4355000000000002</v>
      </c>
      <c r="AI10" s="1">
        <f t="shared" si="2"/>
        <v>4.4833387881323599E-7</v>
      </c>
      <c r="AJ10" s="1">
        <f t="shared" si="3"/>
        <v>4.3916123505586982E-8</v>
      </c>
      <c r="AK10" s="1"/>
    </row>
    <row r="11" spans="2:37" x14ac:dyDescent="0.2">
      <c r="B11" s="38">
        <v>-2.3471000000000002</v>
      </c>
      <c r="C11" s="47">
        <v>1.86227131365338E-6</v>
      </c>
      <c r="D11" s="48">
        <v>1.80749310156529E-6</v>
      </c>
      <c r="E11" s="12"/>
      <c r="I11" s="30">
        <f t="shared" si="4"/>
        <v>-2.3471000000000002</v>
      </c>
      <c r="J11" s="1">
        <f t="shared" si="4"/>
        <v>1.86227131365338E-6</v>
      </c>
      <c r="K11" s="1">
        <f t="shared" si="5"/>
        <v>3.8734045228763342E-8</v>
      </c>
      <c r="L11" s="30">
        <f t="shared" si="6"/>
        <v>-2.3471000000000002</v>
      </c>
      <c r="M11" s="1">
        <f t="shared" si="7"/>
        <v>0</v>
      </c>
      <c r="N11" s="1">
        <f t="shared" si="8"/>
        <v>1.316824674293485E-6</v>
      </c>
      <c r="P11" s="38">
        <v>-2.2898000000000001</v>
      </c>
      <c r="Q11" s="47">
        <v>2.4634279703490999E-7</v>
      </c>
      <c r="R11" s="47">
        <v>3.35135007809503E-7</v>
      </c>
      <c r="S11" s="12"/>
      <c r="T11" s="12"/>
      <c r="V11" s="30">
        <f t="shared" si="0"/>
        <v>-2.2898000000000001</v>
      </c>
      <c r="W11" s="1">
        <f t="shared" si="0"/>
        <v>2.4634279703490999E-7</v>
      </c>
      <c r="X11" s="13">
        <f t="shared" si="1"/>
        <v>6.2785574355259945E-8</v>
      </c>
      <c r="Y11" s="1"/>
      <c r="AA11" s="38">
        <v>-2.2631000000000001</v>
      </c>
      <c r="AB11" s="12">
        <v>2.6833783280319402E-7</v>
      </c>
      <c r="AC11" s="12">
        <v>3.3139633839130198E-7</v>
      </c>
      <c r="AD11" s="12">
        <v>1.32822061896166E-5</v>
      </c>
      <c r="AE11" s="1"/>
      <c r="AF11" s="1"/>
      <c r="AH11" s="30">
        <f t="shared" si="2"/>
        <v>-2.2631000000000001</v>
      </c>
      <c r="AI11" s="1">
        <f t="shared" si="2"/>
        <v>2.6833783280319402E-7</v>
      </c>
      <c r="AJ11" s="1">
        <f t="shared" si="3"/>
        <v>4.4589096912840943E-8</v>
      </c>
      <c r="AK11" s="1"/>
    </row>
    <row r="12" spans="2:37" x14ac:dyDescent="0.2">
      <c r="B12" s="38">
        <v>-2.2275999999999998</v>
      </c>
      <c r="C12" s="47">
        <v>9.9722238010965502E-7</v>
      </c>
      <c r="D12" s="48">
        <v>1.3501656232001801E-6</v>
      </c>
      <c r="E12" s="12"/>
      <c r="I12" s="30">
        <f t="shared" si="4"/>
        <v>-2.2275999999999998</v>
      </c>
      <c r="J12" s="1">
        <f t="shared" si="4"/>
        <v>9.9722238010965502E-7</v>
      </c>
      <c r="K12" s="1">
        <f t="shared" si="5"/>
        <v>2.4956856056328236E-7</v>
      </c>
      <c r="L12" s="30">
        <f t="shared" si="6"/>
        <v>-2.2275999999999998</v>
      </c>
      <c r="M12" s="1">
        <f t="shared" si="7"/>
        <v>0</v>
      </c>
      <c r="N12" s="1">
        <f t="shared" si="8"/>
        <v>7.0514270732652596E-7</v>
      </c>
      <c r="P12" s="38">
        <v>-2.089</v>
      </c>
      <c r="Q12" s="47">
        <v>6.0706508409872397E-7</v>
      </c>
      <c r="R12" s="47">
        <v>7.5229291952767201E-7</v>
      </c>
      <c r="S12" s="12"/>
      <c r="T12" s="12"/>
      <c r="V12" s="30">
        <f t="shared" si="0"/>
        <v>-2.089</v>
      </c>
      <c r="W12" s="1">
        <f t="shared" si="0"/>
        <v>6.0706508409872397E-7</v>
      </c>
      <c r="X12" s="13">
        <f t="shared" si="1"/>
        <v>1.0269158724885309E-7</v>
      </c>
      <c r="Y12" s="1"/>
      <c r="AA12" s="38">
        <v>-2.1025999999999998</v>
      </c>
      <c r="AB12" s="12">
        <v>4.07942790971539E-7</v>
      </c>
      <c r="AC12" s="12">
        <v>4.8292278200076002E-7</v>
      </c>
      <c r="AD12" s="12">
        <v>3.2571440707973999E-6</v>
      </c>
      <c r="AE12" s="1"/>
      <c r="AF12" s="1"/>
      <c r="AH12" s="30">
        <f t="shared" si="2"/>
        <v>-2.1025999999999998</v>
      </c>
      <c r="AI12" s="1">
        <f t="shared" si="2"/>
        <v>4.07942790971539E-7</v>
      </c>
      <c r="AJ12" s="1">
        <f t="shared" si="3"/>
        <v>5.3018860110068684E-8</v>
      </c>
      <c r="AK12" s="1"/>
    </row>
    <row r="13" spans="2:37" x14ac:dyDescent="0.2">
      <c r="B13" s="38">
        <v>-2.0421</v>
      </c>
      <c r="C13" s="47">
        <v>1.0103655882724299E-6</v>
      </c>
      <c r="D13" s="48">
        <v>1.13614687918692E-6</v>
      </c>
      <c r="E13" s="12"/>
      <c r="I13" s="30">
        <f t="shared" si="4"/>
        <v>-2.0421</v>
      </c>
      <c r="J13" s="1">
        <f t="shared" si="4"/>
        <v>1.0103655882724299E-6</v>
      </c>
      <c r="K13" s="1">
        <f t="shared" si="5"/>
        <v>8.8940803752033784E-8</v>
      </c>
      <c r="L13" s="30">
        <f t="shared" si="6"/>
        <v>-2.0421</v>
      </c>
      <c r="M13" s="1">
        <f t="shared" si="7"/>
        <v>0</v>
      </c>
      <c r="N13" s="1">
        <f t="shared" si="8"/>
        <v>7.1443635894497045E-7</v>
      </c>
      <c r="P13" s="38">
        <v>-1.8777999999999999</v>
      </c>
      <c r="Q13" s="47">
        <v>1.3826692790255199E-7</v>
      </c>
      <c r="R13" s="47">
        <v>2.0682248445450899E-7</v>
      </c>
      <c r="S13" s="12"/>
      <c r="T13" s="12"/>
      <c r="V13" s="30">
        <f t="shared" si="0"/>
        <v>-1.8777999999999999</v>
      </c>
      <c r="W13" s="1">
        <f t="shared" si="0"/>
        <v>1.3826692790255199E-7</v>
      </c>
      <c r="X13" s="13">
        <f t="shared" si="1"/>
        <v>4.8476098925906645E-8</v>
      </c>
      <c r="Y13" s="1"/>
      <c r="AA13" s="38">
        <v>-1.8815</v>
      </c>
      <c r="AB13" s="12">
        <v>4.8070114079386703E-7</v>
      </c>
      <c r="AC13" s="12">
        <v>6.5707280602129203E-7</v>
      </c>
      <c r="AD13" s="12">
        <v>1.64987208201811E-6</v>
      </c>
      <c r="AE13" s="1"/>
      <c r="AF13" s="1"/>
      <c r="AH13" s="30">
        <f t="shared" si="2"/>
        <v>-1.8815</v>
      </c>
      <c r="AI13" s="1">
        <f t="shared" si="2"/>
        <v>4.8070114079386703E-7</v>
      </c>
      <c r="AJ13" s="1">
        <f t="shared" si="3"/>
        <v>1.2471360049147583E-7</v>
      </c>
      <c r="AK13" s="1"/>
    </row>
    <row r="14" spans="2:37" x14ac:dyDescent="0.2">
      <c r="B14" s="38">
        <v>-1.8168</v>
      </c>
      <c r="C14" s="47">
        <v>6.4549933671165096E-7</v>
      </c>
      <c r="D14" s="48">
        <v>9.3247000010364696E-7</v>
      </c>
      <c r="E14" s="12"/>
      <c r="I14" s="30">
        <f t="shared" si="4"/>
        <v>-1.8168</v>
      </c>
      <c r="J14" s="1">
        <f t="shared" si="4"/>
        <v>6.4549933671165096E-7</v>
      </c>
      <c r="K14" s="1">
        <f t="shared" si="5"/>
        <v>2.0291890208608251E-7</v>
      </c>
      <c r="L14" s="30">
        <f t="shared" si="6"/>
        <v>-1.8168</v>
      </c>
      <c r="M14" s="1">
        <f t="shared" si="7"/>
        <v>0</v>
      </c>
      <c r="N14" s="1">
        <f t="shared" si="8"/>
        <v>4.5643695824022697E-7</v>
      </c>
      <c r="P14" s="38">
        <v>-1.7208000000000001</v>
      </c>
      <c r="Q14" s="47">
        <v>3.6360926206805998E-7</v>
      </c>
      <c r="R14" s="47">
        <v>4.8928385686796198E-7</v>
      </c>
      <c r="S14" s="12"/>
      <c r="T14" s="12"/>
      <c r="V14" s="30">
        <f t="shared" si="0"/>
        <v>-1.7208000000000001</v>
      </c>
      <c r="W14" s="1">
        <f t="shared" si="0"/>
        <v>3.6360926206805998E-7</v>
      </c>
      <c r="X14" s="13">
        <f t="shared" si="1"/>
        <v>8.8865358205882327E-8</v>
      </c>
      <c r="Y14" s="1"/>
      <c r="AA14" s="38">
        <v>-1.6928000000000001</v>
      </c>
      <c r="AB14" s="12">
        <v>7.3047989790794495E-7</v>
      </c>
      <c r="AC14" s="12">
        <v>7.2319294533005205E-7</v>
      </c>
      <c r="AD14" s="12">
        <v>1.3696072333486001E-6</v>
      </c>
      <c r="AE14" s="1"/>
      <c r="AF14" s="1"/>
      <c r="AH14" s="30">
        <f t="shared" si="2"/>
        <v>-1.6928000000000001</v>
      </c>
      <c r="AI14" s="1">
        <f t="shared" si="2"/>
        <v>7.3047989790794495E-7</v>
      </c>
      <c r="AJ14" s="1">
        <f t="shared" si="3"/>
        <v>5.1526535820128652E-9</v>
      </c>
      <c r="AK14" s="1"/>
    </row>
    <row r="15" spans="2:37" x14ac:dyDescent="0.2">
      <c r="B15" s="38">
        <v>-1.6166</v>
      </c>
      <c r="C15" s="47">
        <v>5.0657148124031896E-7</v>
      </c>
      <c r="D15" s="48">
        <v>6.8090487476073195E-7</v>
      </c>
      <c r="E15" s="12"/>
      <c r="I15" s="30">
        <f t="shared" si="4"/>
        <v>-1.6166</v>
      </c>
      <c r="J15" s="1">
        <f t="shared" si="4"/>
        <v>5.0657148124031896E-7</v>
      </c>
      <c r="K15" s="1">
        <f t="shared" si="5"/>
        <v>1.2327232474554694E-7</v>
      </c>
      <c r="L15" s="30">
        <f t="shared" si="6"/>
        <v>-1.6166</v>
      </c>
      <c r="M15" s="1">
        <f t="shared" si="7"/>
        <v>0</v>
      </c>
      <c r="N15" s="1">
        <f t="shared" si="8"/>
        <v>3.5820012954074346E-7</v>
      </c>
      <c r="P15" s="38">
        <v>-1.5487</v>
      </c>
      <c r="Q15" s="47">
        <v>3.4694185126879802E-7</v>
      </c>
      <c r="R15" s="47">
        <v>4.7085242285096599E-7</v>
      </c>
      <c r="S15" s="12"/>
      <c r="T15" s="12"/>
      <c r="V15" s="30">
        <f t="shared" si="0"/>
        <v>-1.5487</v>
      </c>
      <c r="W15" s="1">
        <f t="shared" si="0"/>
        <v>3.4694185126879802E-7</v>
      </c>
      <c r="X15" s="13">
        <f t="shared" si="1"/>
        <v>8.761800542645208E-8</v>
      </c>
      <c r="Y15" s="1"/>
      <c r="AA15" s="38">
        <v>-1.4948999999999999</v>
      </c>
      <c r="AB15" s="12">
        <v>3.35396849389888E-7</v>
      </c>
      <c r="AC15" s="12">
        <v>4.0532434763001699E-7</v>
      </c>
      <c r="AD15" s="12">
        <v>6.0843239603912699E-6</v>
      </c>
      <c r="AE15" s="1"/>
      <c r="AF15" s="1"/>
      <c r="AH15" s="30">
        <f t="shared" si="2"/>
        <v>-1.4948999999999999</v>
      </c>
      <c r="AI15" s="1">
        <f t="shared" si="2"/>
        <v>3.35396849389888E-7</v>
      </c>
      <c r="AJ15" s="1">
        <f t="shared" si="3"/>
        <v>4.9446208197005575E-8</v>
      </c>
      <c r="AK15" s="1"/>
    </row>
    <row r="16" spans="2:37" x14ac:dyDescent="0.2">
      <c r="B16" s="38">
        <v>-1.4614</v>
      </c>
      <c r="C16" s="47">
        <v>3.3495405374864399E-7</v>
      </c>
      <c r="D16" s="48">
        <v>5.3918597978964098E-7</v>
      </c>
      <c r="E16" s="12"/>
      <c r="I16" s="30">
        <f t="shared" si="4"/>
        <v>-1.4614</v>
      </c>
      <c r="J16" s="1">
        <f t="shared" si="4"/>
        <v>3.3495405374864399E-7</v>
      </c>
      <c r="K16" s="1">
        <f t="shared" si="5"/>
        <v>1.4441377983837842E-7</v>
      </c>
      <c r="L16" s="30">
        <f t="shared" si="6"/>
        <v>-1.4614</v>
      </c>
      <c r="M16" s="1">
        <f t="shared" si="7"/>
        <v>0</v>
      </c>
      <c r="N16" s="1">
        <f t="shared" si="8"/>
        <v>2.3684828279158947E-7</v>
      </c>
      <c r="P16" s="38">
        <v>-1.3474999999999999</v>
      </c>
      <c r="Q16" s="47">
        <v>9.1416413830163802E-8</v>
      </c>
      <c r="R16" s="47">
        <v>1.5055234113677801E-7</v>
      </c>
      <c r="S16" s="12"/>
      <c r="T16" s="12"/>
      <c r="V16" s="30">
        <f t="shared" si="0"/>
        <v>-1.3474999999999999</v>
      </c>
      <c r="W16" s="1">
        <f t="shared" si="0"/>
        <v>9.1416413830163802E-8</v>
      </c>
      <c r="X16" s="13">
        <f t="shared" si="1"/>
        <v>4.1815415210261633E-8</v>
      </c>
      <c r="Y16" s="1"/>
      <c r="AA16" s="38">
        <v>-1.3173999999999999</v>
      </c>
      <c r="AB16" s="12">
        <v>2.7818978062940798E-7</v>
      </c>
      <c r="AC16" s="12">
        <v>3.82232836452029E-7</v>
      </c>
      <c r="AD16" s="12">
        <v>5.3044155739530603E-6</v>
      </c>
      <c r="AE16" s="1"/>
      <c r="AF16" s="1"/>
      <c r="AH16" s="30">
        <f t="shared" si="2"/>
        <v>-1.3173999999999999</v>
      </c>
      <c r="AI16" s="1">
        <f t="shared" si="2"/>
        <v>2.7818978062940798E-7</v>
      </c>
      <c r="AJ16" s="1">
        <f t="shared" si="3"/>
        <v>7.356955030754583E-8</v>
      </c>
      <c r="AK16" s="1"/>
    </row>
    <row r="17" spans="2:37" x14ac:dyDescent="0.2">
      <c r="B17" s="38">
        <v>-1.2321</v>
      </c>
      <c r="C17" s="47">
        <v>3.3570156703311998E-7</v>
      </c>
      <c r="D17" s="48">
        <v>4.5057070200440298E-7</v>
      </c>
      <c r="E17" s="12"/>
      <c r="I17" s="30">
        <f t="shared" si="4"/>
        <v>-1.2321</v>
      </c>
      <c r="J17" s="1">
        <f t="shared" si="4"/>
        <v>3.3570156703311998E-7</v>
      </c>
      <c r="K17" s="1">
        <f t="shared" si="5"/>
        <v>8.1224744287227005E-8</v>
      </c>
      <c r="L17" s="30">
        <f t="shared" si="6"/>
        <v>-1.2321</v>
      </c>
      <c r="M17" s="1">
        <f t="shared" si="7"/>
        <v>0</v>
      </c>
      <c r="N17" s="1">
        <f t="shared" si="8"/>
        <v>2.3737685450406949E-7</v>
      </c>
      <c r="P17" s="38">
        <v>-1.1871</v>
      </c>
      <c r="Q17" s="47">
        <v>2.37167096183007E-7</v>
      </c>
      <c r="R17" s="47">
        <v>3.5226218695323102E-7</v>
      </c>
      <c r="S17" s="12"/>
      <c r="T17" s="12"/>
      <c r="V17" s="30">
        <f t="shared" si="0"/>
        <v>-1.1871</v>
      </c>
      <c r="W17" s="1">
        <f t="shared" si="0"/>
        <v>2.37167096183007E-7</v>
      </c>
      <c r="X17" s="13">
        <f t="shared" si="1"/>
        <v>8.138451916490662E-8</v>
      </c>
      <c r="Y17" s="1"/>
      <c r="AA17" s="38">
        <v>-1.1380999999999999</v>
      </c>
      <c r="AB17" s="12">
        <v>2.9293779237454602E-7</v>
      </c>
      <c r="AC17" s="12">
        <v>3.64690801891198E-7</v>
      </c>
      <c r="AD17" s="12">
        <v>9.7291400090329601E-6</v>
      </c>
      <c r="AE17" s="1"/>
      <c r="AF17" s="1"/>
      <c r="AH17" s="30">
        <f t="shared" si="2"/>
        <v>-1.1380999999999999</v>
      </c>
      <c r="AI17" s="1">
        <f t="shared" si="2"/>
        <v>2.9293779237454602E-7</v>
      </c>
      <c r="AJ17" s="1">
        <f t="shared" si="3"/>
        <v>5.0737039599767495E-8</v>
      </c>
      <c r="AK17" s="1"/>
    </row>
    <row r="18" spans="2:37" x14ac:dyDescent="0.2">
      <c r="B18" s="38">
        <v>-1.0329999999999999</v>
      </c>
      <c r="C18" s="47">
        <v>3.5672831720635001E-7</v>
      </c>
      <c r="D18" s="48">
        <v>5.3633129884797303E-7</v>
      </c>
      <c r="E18" s="12"/>
      <c r="I18" s="30">
        <f t="shared" si="4"/>
        <v>-1.0329999999999999</v>
      </c>
      <c r="J18" s="1">
        <f t="shared" si="4"/>
        <v>3.5672831720635001E-7</v>
      </c>
      <c r="K18" s="1">
        <f t="shared" si="5"/>
        <v>1.2699848624011462E-7</v>
      </c>
      <c r="L18" s="30">
        <f t="shared" si="6"/>
        <v>-1.0329999999999999</v>
      </c>
      <c r="M18" s="1">
        <f t="shared" si="7"/>
        <v>0</v>
      </c>
      <c r="N18" s="1">
        <f t="shared" si="8"/>
        <v>2.5224501213787585E-7</v>
      </c>
      <c r="P18" s="38">
        <v>-1.0443</v>
      </c>
      <c r="Q18" s="47">
        <v>2.00270372680011E-7</v>
      </c>
      <c r="R18" s="47">
        <v>2.91266111426563E-7</v>
      </c>
      <c r="S18" s="12"/>
      <c r="T18" s="12"/>
      <c r="V18" s="30">
        <f t="shared" si="0"/>
        <v>-1.0443</v>
      </c>
      <c r="W18" s="1">
        <f t="shared" si="0"/>
        <v>2.00270372680011E-7</v>
      </c>
      <c r="X18" s="13">
        <f t="shared" si="1"/>
        <v>6.43437039267664E-8</v>
      </c>
      <c r="Y18" s="1"/>
      <c r="AA18" s="38">
        <v>-0.91047999999999996</v>
      </c>
      <c r="AB18" s="12">
        <v>2.6998887244207802E-7</v>
      </c>
      <c r="AC18" s="12">
        <v>3.87601851929081E-7</v>
      </c>
      <c r="AD18" s="12">
        <v>1.2943974978381E-5</v>
      </c>
      <c r="AE18" s="1"/>
      <c r="AF18" s="1"/>
      <c r="AH18" s="30">
        <f t="shared" si="2"/>
        <v>-0.91047999999999996</v>
      </c>
      <c r="AI18" s="1">
        <f t="shared" si="2"/>
        <v>2.6998887244207802E-7</v>
      </c>
      <c r="AJ18" s="1">
        <f t="shared" si="3"/>
        <v>8.316493535081412E-8</v>
      </c>
      <c r="AK18" s="1"/>
    </row>
    <row r="19" spans="2:37" x14ac:dyDescent="0.2">
      <c r="B19" s="38">
        <v>-0.87799000000000005</v>
      </c>
      <c r="C19" s="47">
        <v>6.4949379006190001E-7</v>
      </c>
      <c r="D19" s="48">
        <v>1.0036650550406201E-6</v>
      </c>
      <c r="E19" s="12"/>
      <c r="I19" s="30">
        <f t="shared" si="4"/>
        <v>-0.87799000000000005</v>
      </c>
      <c r="J19" s="1">
        <f t="shared" si="4"/>
        <v>6.4949379006190001E-7</v>
      </c>
      <c r="K19" s="1">
        <f t="shared" si="5"/>
        <v>2.5043690316787055E-7</v>
      </c>
      <c r="L19" s="30">
        <f t="shared" si="6"/>
        <v>-0.87799000000000005</v>
      </c>
      <c r="M19" s="1">
        <f t="shared" si="7"/>
        <v>0</v>
      </c>
      <c r="N19" s="1">
        <f t="shared" si="8"/>
        <v>4.5926146329132138E-7</v>
      </c>
      <c r="P19" s="38">
        <v>-0.87414000000000003</v>
      </c>
      <c r="Q19" s="47">
        <v>2.5347250700379502E-7</v>
      </c>
      <c r="R19" s="47">
        <v>3.8899301320254899E-7</v>
      </c>
      <c r="S19" s="12"/>
      <c r="T19" s="12"/>
      <c r="V19" s="30">
        <f t="shared" si="0"/>
        <v>-0.87414000000000003</v>
      </c>
      <c r="W19" s="1">
        <f t="shared" si="0"/>
        <v>2.5347250700379502E-7</v>
      </c>
      <c r="X19" s="13">
        <f t="shared" si="1"/>
        <v>9.5827468922972487E-8</v>
      </c>
      <c r="Y19" s="1"/>
      <c r="AA19" s="38">
        <v>-0.79920999999999998</v>
      </c>
      <c r="AB19" s="12">
        <v>2.0126849841158599E-7</v>
      </c>
      <c r="AC19" s="12">
        <v>3.2234313014486199E-7</v>
      </c>
      <c r="AD19" s="12">
        <v>7.9794579563016995E-6</v>
      </c>
      <c r="AE19" s="1"/>
      <c r="AF19" s="1"/>
      <c r="AH19" s="30">
        <f t="shared" si="2"/>
        <v>-0.79920999999999998</v>
      </c>
      <c r="AI19" s="1">
        <f t="shared" si="2"/>
        <v>2.0126849841158599E-7</v>
      </c>
      <c r="AJ19" s="1">
        <f t="shared" si="3"/>
        <v>8.5612693128263418E-8</v>
      </c>
      <c r="AK19" s="1"/>
    </row>
    <row r="20" spans="2:37" x14ac:dyDescent="0.2">
      <c r="B20" s="38">
        <v>-0.69398000000000004</v>
      </c>
      <c r="C20" s="47">
        <v>8.8888018379100604E-7</v>
      </c>
      <c r="D20" s="48">
        <v>1.2300108586699301E-6</v>
      </c>
      <c r="E20" s="12"/>
      <c r="I20" s="30">
        <f t="shared" si="4"/>
        <v>-0.69398000000000004</v>
      </c>
      <c r="J20" s="1">
        <f t="shared" si="4"/>
        <v>8.8888018379100604E-7</v>
      </c>
      <c r="K20" s="1">
        <f t="shared" si="5"/>
        <v>2.4121581347763065E-7</v>
      </c>
      <c r="L20" s="30">
        <f t="shared" si="6"/>
        <v>-0.69398000000000004</v>
      </c>
      <c r="M20" s="1">
        <f t="shared" si="7"/>
        <v>0</v>
      </c>
      <c r="N20" s="1">
        <f t="shared" si="8"/>
        <v>6.28533205620965E-7</v>
      </c>
      <c r="P20" s="38">
        <v>-0.66503999999999996</v>
      </c>
      <c r="Q20" s="47">
        <v>2.6676587686494502E-7</v>
      </c>
      <c r="R20" s="47">
        <v>4.15288616947605E-7</v>
      </c>
      <c r="S20" s="12"/>
      <c r="T20" s="12"/>
      <c r="V20" s="30">
        <f t="shared" si="0"/>
        <v>-0.66503999999999996</v>
      </c>
      <c r="W20" s="1">
        <f t="shared" si="0"/>
        <v>2.6676587686494502E-7</v>
      </c>
      <c r="X20" s="13">
        <f t="shared" si="1"/>
        <v>1.0502143667285593E-7</v>
      </c>
      <c r="Y20" s="1"/>
      <c r="AA20" s="38">
        <v>-0.61373999999999995</v>
      </c>
      <c r="AB20" s="12">
        <v>4.2571869039518798E-7</v>
      </c>
      <c r="AC20" s="12">
        <v>5.9910791621188702E-7</v>
      </c>
      <c r="AD20" s="12">
        <v>1.14241168390718E-5</v>
      </c>
      <c r="AE20" s="1"/>
      <c r="AF20" s="1"/>
      <c r="AH20" s="30">
        <f t="shared" si="2"/>
        <v>-0.61373999999999995</v>
      </c>
      <c r="AI20" s="1">
        <f t="shared" si="2"/>
        <v>4.2571869039518798E-7</v>
      </c>
      <c r="AJ20" s="1">
        <f t="shared" si="3"/>
        <v>1.2260469735967347E-7</v>
      </c>
      <c r="AK20" s="1"/>
    </row>
    <row r="21" spans="2:37" x14ac:dyDescent="0.2">
      <c r="B21" s="38">
        <v>-0.49117</v>
      </c>
      <c r="C21" s="47">
        <v>1.21483240399821E-6</v>
      </c>
      <c r="D21" s="48">
        <v>1.4925763781176601E-6</v>
      </c>
      <c r="E21" s="12"/>
      <c r="I21" s="30">
        <f t="shared" si="4"/>
        <v>-0.49117</v>
      </c>
      <c r="J21" s="1">
        <f t="shared" si="4"/>
        <v>1.21483240399821E-6</v>
      </c>
      <c r="K21" s="1">
        <f t="shared" si="5"/>
        <v>1.9639464753356408E-7</v>
      </c>
      <c r="L21" s="30">
        <f t="shared" si="6"/>
        <v>-0.49117</v>
      </c>
      <c r="M21" s="1">
        <f t="shared" si="7"/>
        <v>0</v>
      </c>
      <c r="N21" s="1">
        <f t="shared" si="8"/>
        <v>8.5901623087228984E-7</v>
      </c>
      <c r="P21" s="38">
        <v>-0.45793</v>
      </c>
      <c r="Q21" s="47">
        <v>4.0829072323521903E-7</v>
      </c>
      <c r="R21" s="47">
        <v>5.7971224036948304E-7</v>
      </c>
      <c r="S21" s="12"/>
      <c r="T21" s="12"/>
      <c r="V21" s="30">
        <f t="shared" si="0"/>
        <v>-0.45793</v>
      </c>
      <c r="W21" s="1">
        <f t="shared" si="0"/>
        <v>4.0829072323521903E-7</v>
      </c>
      <c r="X21" s="13">
        <f t="shared" si="1"/>
        <v>1.2121331720692403E-7</v>
      </c>
      <c r="Y21" s="1"/>
      <c r="AA21" s="38">
        <v>-0.41548000000000002</v>
      </c>
      <c r="AB21" s="12">
        <v>7.3874953394695003E-7</v>
      </c>
      <c r="AC21" s="12">
        <v>9.44612593388637E-7</v>
      </c>
      <c r="AD21" s="12">
        <v>4.5166876552340404E-6</v>
      </c>
      <c r="AE21" s="1"/>
      <c r="AF21" s="1"/>
      <c r="AH21" s="30">
        <f t="shared" si="2"/>
        <v>-0.41548000000000002</v>
      </c>
      <c r="AI21" s="1">
        <f t="shared" si="2"/>
        <v>7.3874953394695003E-7</v>
      </c>
      <c r="AJ21" s="1">
        <f t="shared" si="3"/>
        <v>1.4556716532702617E-7</v>
      </c>
      <c r="AK21" s="1"/>
    </row>
    <row r="22" spans="2:37" x14ac:dyDescent="0.2">
      <c r="B22" s="38">
        <v>-0.26484000000000002</v>
      </c>
      <c r="C22" s="47">
        <v>3.2140927763231002E-6</v>
      </c>
      <c r="D22" s="48">
        <v>3.5120902987965201E-6</v>
      </c>
      <c r="E22" s="12"/>
      <c r="I22" s="30">
        <f t="shared" si="4"/>
        <v>-0.26484000000000002</v>
      </c>
      <c r="J22" s="1">
        <f t="shared" si="4"/>
        <v>3.2140927763231002E-6</v>
      </c>
      <c r="K22" s="1">
        <f t="shared" si="5"/>
        <v>2.107160689177458E-7</v>
      </c>
      <c r="L22" s="30">
        <f t="shared" si="6"/>
        <v>-0.26484000000000002</v>
      </c>
      <c r="M22" s="1">
        <f t="shared" si="7"/>
        <v>0</v>
      </c>
      <c r="N22" s="1">
        <f t="shared" si="8"/>
        <v>2.2727067975007615E-6</v>
      </c>
      <c r="P22" s="38">
        <v>-0.25546000000000002</v>
      </c>
      <c r="Q22" s="47">
        <v>6.6145093140804502E-7</v>
      </c>
      <c r="R22" s="47">
        <v>7.93458176238937E-7</v>
      </c>
      <c r="S22" s="12"/>
      <c r="T22" s="12"/>
      <c r="V22" s="30">
        <f t="shared" si="0"/>
        <v>-0.25546000000000002</v>
      </c>
      <c r="W22" s="1">
        <f t="shared" si="0"/>
        <v>6.6145093140804502E-7</v>
      </c>
      <c r="X22" s="13">
        <f t="shared" si="1"/>
        <v>9.3343217985676541E-8</v>
      </c>
      <c r="Y22" s="1"/>
      <c r="AA22" s="38">
        <v>-0.21517</v>
      </c>
      <c r="AB22" s="12">
        <v>6.8587279664800399E-7</v>
      </c>
      <c r="AC22" s="12">
        <v>9.1986511194830203E-7</v>
      </c>
      <c r="AD22" s="12">
        <v>2.4563708585072599E-6</v>
      </c>
      <c r="AE22" s="1"/>
      <c r="AF22" s="1"/>
      <c r="AH22" s="30">
        <f t="shared" si="2"/>
        <v>-0.21517</v>
      </c>
      <c r="AI22" s="1">
        <f t="shared" si="2"/>
        <v>6.8587279664800399E-7</v>
      </c>
      <c r="AJ22" s="1">
        <f t="shared" si="3"/>
        <v>1.6545755289438147E-7</v>
      </c>
      <c r="AK22" s="1"/>
    </row>
    <row r="23" spans="2:37" x14ac:dyDescent="0.2">
      <c r="B23" s="38">
        <v>-6.2840999999999994E-2</v>
      </c>
      <c r="C23" s="47">
        <v>2.67676686694007E-6</v>
      </c>
      <c r="D23" s="48">
        <v>3.3976556170167199E-6</v>
      </c>
      <c r="E23" s="12"/>
      <c r="I23" s="30">
        <f t="shared" si="4"/>
        <v>-6.2840999999999994E-2</v>
      </c>
      <c r="J23" s="1">
        <f t="shared" si="4"/>
        <v>2.67676686694007E-6</v>
      </c>
      <c r="K23" s="1">
        <f t="shared" si="5"/>
        <v>5.0974532366029347E-7</v>
      </c>
      <c r="L23" s="30">
        <f t="shared" si="6"/>
        <v>-6.2840999999999994E-2</v>
      </c>
      <c r="M23" s="1">
        <f t="shared" si="7"/>
        <v>0</v>
      </c>
      <c r="N23" s="1">
        <f t="shared" si="8"/>
        <v>1.8927600032687925E-6</v>
      </c>
      <c r="P23" s="38">
        <v>-5.9332000000000003E-2</v>
      </c>
      <c r="Q23" s="47">
        <v>8.5254705440911596E-7</v>
      </c>
      <c r="R23" s="47">
        <v>1.0668735965273501E-6</v>
      </c>
      <c r="S23" s="12"/>
      <c r="T23" s="12"/>
      <c r="V23" s="30">
        <f t="shared" si="0"/>
        <v>-5.9332000000000003E-2</v>
      </c>
      <c r="W23" s="1">
        <f t="shared" si="0"/>
        <v>8.5254705440911596E-7</v>
      </c>
      <c r="X23" s="13">
        <f t="shared" si="1"/>
        <v>1.5155175132006752E-7</v>
      </c>
      <c r="Y23" s="1"/>
      <c r="AA23" s="38">
        <v>-8.1447000000000006E-2</v>
      </c>
      <c r="AB23" s="12">
        <v>9.1811525003847901E-7</v>
      </c>
      <c r="AC23" s="12">
        <v>1.1697637477414E-6</v>
      </c>
      <c r="AD23" s="12">
        <v>1.24762042436517E-6</v>
      </c>
      <c r="AE23" s="1"/>
      <c r="AF23" s="1"/>
      <c r="AH23" s="30">
        <f t="shared" si="2"/>
        <v>-8.1447000000000006E-2</v>
      </c>
      <c r="AI23" s="1">
        <f t="shared" si="2"/>
        <v>9.1811525003847901E-7</v>
      </c>
      <c r="AJ23" s="1">
        <f t="shared" si="3"/>
        <v>1.7794235920114277E-7</v>
      </c>
      <c r="AK23" s="1"/>
    </row>
    <row r="24" spans="2:37" x14ac:dyDescent="0.2">
      <c r="B24" s="38">
        <v>0.12773000000000001</v>
      </c>
      <c r="C24" s="47">
        <v>2.99426811124611E-6</v>
      </c>
      <c r="D24" s="48">
        <v>3.2566606677112602E-6</v>
      </c>
      <c r="E24" s="12"/>
      <c r="I24" s="30">
        <f t="shared" si="4"/>
        <v>0.12773000000000001</v>
      </c>
      <c r="J24" s="1">
        <f t="shared" si="4"/>
        <v>2.99426811124611E-6</v>
      </c>
      <c r="K24" s="1">
        <f t="shared" si="5"/>
        <v>1.8553955600938175E-7</v>
      </c>
      <c r="L24" s="30">
        <f t="shared" si="6"/>
        <v>0.12773000000000001</v>
      </c>
      <c r="M24" s="1">
        <f t="shared" si="7"/>
        <v>0</v>
      </c>
      <c r="N24" s="1">
        <f t="shared" si="8"/>
        <v>2.11726728615276E-6</v>
      </c>
      <c r="P24" s="38">
        <v>9.7534999999999997E-2</v>
      </c>
      <c r="Q24" s="47">
        <v>6.9644135712849999E-7</v>
      </c>
      <c r="R24" s="47">
        <v>9.2464995109050996E-7</v>
      </c>
      <c r="S24" s="12"/>
      <c r="T24" s="12"/>
      <c r="V24" s="30">
        <f t="shared" si="0"/>
        <v>9.7534999999999997E-2</v>
      </c>
      <c r="W24" s="1">
        <f t="shared" si="0"/>
        <v>6.9644135712849999E-7</v>
      </c>
      <c r="X24" s="13">
        <f t="shared" si="1"/>
        <v>1.6136784431558466E-7</v>
      </c>
      <c r="Y24" s="1"/>
      <c r="AA24" s="38">
        <v>0.12619</v>
      </c>
      <c r="AB24" s="12">
        <v>1.1482556527560101E-6</v>
      </c>
      <c r="AC24" s="12">
        <v>1.39463635409455E-6</v>
      </c>
      <c r="AD24" s="12">
        <v>1.1450646468626299E-6</v>
      </c>
      <c r="AE24" s="1"/>
      <c r="AF24" s="1"/>
      <c r="AH24" s="30">
        <f t="shared" si="2"/>
        <v>0.12619</v>
      </c>
      <c r="AI24" s="1">
        <f t="shared" si="2"/>
        <v>1.1482556527560101E-6</v>
      </c>
      <c r="AJ24" s="1">
        <f t="shared" si="3"/>
        <v>1.7421746466997902E-7</v>
      </c>
      <c r="AK24" s="1"/>
    </row>
    <row r="25" spans="2:37" x14ac:dyDescent="0.2">
      <c r="B25" s="38">
        <v>0.31890000000000002</v>
      </c>
      <c r="C25" s="47">
        <v>1.8334493632892401E-6</v>
      </c>
      <c r="D25" s="48">
        <v>2.2805880236238098E-6</v>
      </c>
      <c r="E25" s="12"/>
      <c r="I25" s="30">
        <f t="shared" si="4"/>
        <v>0.31890000000000002</v>
      </c>
      <c r="J25" s="1">
        <f t="shared" si="4"/>
        <v>1.8334493632892401E-6</v>
      </c>
      <c r="K25" s="1">
        <f t="shared" si="5"/>
        <v>3.1617477885324257E-7</v>
      </c>
      <c r="L25" s="30">
        <f t="shared" si="6"/>
        <v>0.31890000000000002</v>
      </c>
      <c r="M25" s="1">
        <f t="shared" si="7"/>
        <v>0</v>
      </c>
      <c r="N25" s="1">
        <f t="shared" si="8"/>
        <v>1.2964444777439796E-6</v>
      </c>
      <c r="P25" s="38">
        <v>0.49580000000000002</v>
      </c>
      <c r="Q25" s="47">
        <v>5.91805366471831E-7</v>
      </c>
      <c r="R25" s="47">
        <v>7.0832941696309101E-7</v>
      </c>
      <c r="S25" s="12"/>
      <c r="T25" s="12"/>
      <c r="V25" s="30">
        <f t="shared" si="0"/>
        <v>0.49580000000000002</v>
      </c>
      <c r="W25" s="1">
        <f t="shared" si="0"/>
        <v>5.91805366471831E-7</v>
      </c>
      <c r="X25" s="13">
        <f t="shared" si="1"/>
        <v>8.239494627369361E-8</v>
      </c>
      <c r="Y25" s="1"/>
      <c r="AA25" s="38">
        <v>0.34412999999999999</v>
      </c>
      <c r="AB25" s="12">
        <v>5.5702206418677099E-7</v>
      </c>
      <c r="AC25" s="12">
        <v>7.9414710225824205E-7</v>
      </c>
      <c r="AD25" s="12">
        <v>2.4845069921599E-6</v>
      </c>
      <c r="AE25" s="1"/>
      <c r="AF25" s="1"/>
      <c r="AH25" s="30">
        <f t="shared" si="2"/>
        <v>0.34412999999999999</v>
      </c>
      <c r="AI25" s="1">
        <f t="shared" si="2"/>
        <v>5.5702206418677099E-7</v>
      </c>
      <c r="AJ25" s="1">
        <f t="shared" si="3"/>
        <v>1.6767272240945543E-7</v>
      </c>
      <c r="AK25" s="1"/>
    </row>
    <row r="26" spans="2:37" x14ac:dyDescent="0.2">
      <c r="B26" s="38">
        <v>0.70579000000000003</v>
      </c>
      <c r="C26" s="47">
        <v>1.55665350679251E-6</v>
      </c>
      <c r="D26" s="48">
        <v>1.9316697587714601E-6</v>
      </c>
      <c r="E26" s="12"/>
      <c r="I26" s="30">
        <f t="shared" si="4"/>
        <v>0.70579000000000003</v>
      </c>
      <c r="J26" s="1">
        <f t="shared" si="4"/>
        <v>1.55665350679251E-6</v>
      </c>
      <c r="K26" s="1">
        <f t="shared" si="5"/>
        <v>2.6517653482947858E-7</v>
      </c>
      <c r="L26" s="30">
        <f t="shared" si="6"/>
        <v>0.70579000000000003</v>
      </c>
      <c r="M26" s="1">
        <f t="shared" si="7"/>
        <v>0</v>
      </c>
      <c r="N26" s="1">
        <f t="shared" si="8"/>
        <v>1.1007202506108032E-6</v>
      </c>
      <c r="P26" s="38">
        <v>0.71567000000000003</v>
      </c>
      <c r="Q26" s="47">
        <v>4.03528160094014E-7</v>
      </c>
      <c r="R26" s="47">
        <v>5.42089281089259E-7</v>
      </c>
      <c r="S26" s="12"/>
      <c r="T26" s="12"/>
      <c r="V26" s="30">
        <f t="shared" si="0"/>
        <v>0.71567000000000003</v>
      </c>
      <c r="W26" s="1">
        <f t="shared" si="0"/>
        <v>4.03528160094014E-7</v>
      </c>
      <c r="X26" s="13">
        <f t="shared" si="1"/>
        <v>9.7977508264547442E-8</v>
      </c>
      <c r="Y26" s="1"/>
      <c r="AA26" s="38">
        <v>0.58926999999999996</v>
      </c>
      <c r="AB26" s="12">
        <v>3.3212996127544099E-7</v>
      </c>
      <c r="AC26" s="12">
        <v>4.8737167480780996E-7</v>
      </c>
      <c r="AD26" s="12">
        <v>9.9084233556047493E-6</v>
      </c>
      <c r="AE26" s="1"/>
      <c r="AF26" s="1"/>
      <c r="AH26" s="30">
        <f t="shared" si="2"/>
        <v>0.58926999999999996</v>
      </c>
      <c r="AI26" s="1">
        <f t="shared" si="2"/>
        <v>3.3212996127544099E-7</v>
      </c>
      <c r="AJ26" s="1">
        <f t="shared" si="3"/>
        <v>1.0977246836175752E-7</v>
      </c>
      <c r="AK26" s="1"/>
    </row>
    <row r="27" spans="2:37" x14ac:dyDescent="0.2">
      <c r="B27" s="38">
        <v>0.90281</v>
      </c>
      <c r="C27" s="47">
        <v>1.98886764247649E-7</v>
      </c>
      <c r="D27" s="48">
        <v>3.3134812887280001E-7</v>
      </c>
      <c r="E27" s="12"/>
      <c r="I27" s="30">
        <f t="shared" si="4"/>
        <v>0.90281</v>
      </c>
      <c r="J27" s="1">
        <f t="shared" si="4"/>
        <v>1.98886764247649E-7</v>
      </c>
      <c r="K27" s="1">
        <f t="shared" si="5"/>
        <v>9.3664329171668141E-8</v>
      </c>
      <c r="L27" s="30">
        <f t="shared" si="6"/>
        <v>0.90281</v>
      </c>
      <c r="M27" s="1">
        <f t="shared" si="7"/>
        <v>0</v>
      </c>
      <c r="N27" s="1">
        <f t="shared" si="8"/>
        <v>1.406341796877628E-7</v>
      </c>
      <c r="P27" s="38">
        <v>0.88692000000000004</v>
      </c>
      <c r="Q27" s="47">
        <v>2.07952157368182E-7</v>
      </c>
      <c r="R27" s="47">
        <v>3.2460213042345001E-7</v>
      </c>
      <c r="S27" s="12"/>
      <c r="T27" s="12"/>
      <c r="V27" s="30">
        <f t="shared" si="0"/>
        <v>0.88692000000000004</v>
      </c>
      <c r="W27" s="1">
        <f t="shared" si="0"/>
        <v>2.07952157368182E-7</v>
      </c>
      <c r="X27" s="13">
        <f t="shared" si="1"/>
        <v>8.2483986972608058E-8</v>
      </c>
      <c r="Y27" s="1"/>
      <c r="AA27" s="38">
        <v>0.79912000000000005</v>
      </c>
      <c r="AB27" s="12">
        <v>3.54840123452532E-7</v>
      </c>
      <c r="AC27" s="12">
        <v>4.77021987418835E-7</v>
      </c>
      <c r="AD27" s="12">
        <v>9.9110679861405401E-6</v>
      </c>
      <c r="AE27" s="1"/>
      <c r="AF27" s="1"/>
      <c r="AH27" s="30">
        <f t="shared" si="2"/>
        <v>0.79912000000000005</v>
      </c>
      <c r="AI27" s="1">
        <f t="shared" si="2"/>
        <v>3.54840123452532E-7</v>
      </c>
      <c r="AJ27" s="1">
        <f t="shared" si="3"/>
        <v>8.6395624548585137E-8</v>
      </c>
      <c r="AK27" s="1"/>
    </row>
    <row r="28" spans="2:37" x14ac:dyDescent="0.2">
      <c r="B28" s="38">
        <v>1.0892999999999999</v>
      </c>
      <c r="C28" s="47">
        <v>6.5360680771595195E-7</v>
      </c>
      <c r="D28" s="48">
        <v>8.6205211511180201E-7</v>
      </c>
      <c r="E28" s="12"/>
      <c r="I28" s="30">
        <f t="shared" si="4"/>
        <v>1.0892999999999999</v>
      </c>
      <c r="J28" s="1">
        <f t="shared" si="4"/>
        <v>6.5360680771595195E-7</v>
      </c>
      <c r="K28" s="1">
        <f t="shared" si="5"/>
        <v>1.4739309036612E-7</v>
      </c>
      <c r="L28" s="30">
        <f t="shared" si="6"/>
        <v>1.0892999999999999</v>
      </c>
      <c r="M28" s="1">
        <f t="shared" si="7"/>
        <v>0</v>
      </c>
      <c r="N28" s="1">
        <f t="shared" si="8"/>
        <v>4.6216980596564148E-7</v>
      </c>
      <c r="P28" s="38">
        <v>1.1464000000000001</v>
      </c>
      <c r="Q28" s="47">
        <v>5.2213724028737799E-7</v>
      </c>
      <c r="R28" s="47">
        <v>6.1248980244685797E-7</v>
      </c>
      <c r="S28" s="12"/>
      <c r="T28" s="12"/>
      <c r="V28" s="30">
        <f t="shared" si="0"/>
        <v>1.1464000000000001</v>
      </c>
      <c r="W28" s="1">
        <f t="shared" si="0"/>
        <v>5.2213724028737799E-7</v>
      </c>
      <c r="X28" s="13">
        <f t="shared" si="1"/>
        <v>6.3888909400547347E-8</v>
      </c>
      <c r="Y28" s="1"/>
      <c r="AA28" s="38">
        <v>1.0075000000000001</v>
      </c>
      <c r="AB28" s="12">
        <v>3.1975943400343499E-7</v>
      </c>
      <c r="AC28" s="12">
        <v>3.6673190272826502E-7</v>
      </c>
      <c r="AD28" s="12">
        <v>7.0498622807624698E-6</v>
      </c>
      <c r="AE28" s="1"/>
      <c r="AF28" s="1"/>
      <c r="AH28" s="30">
        <f t="shared" si="2"/>
        <v>1.0075000000000001</v>
      </c>
      <c r="AI28" s="1">
        <f t="shared" si="2"/>
        <v>3.1975943400343499E-7</v>
      </c>
      <c r="AJ28" s="1">
        <f t="shared" si="3"/>
        <v>3.3214551164400336E-8</v>
      </c>
      <c r="AK28" s="1"/>
    </row>
    <row r="29" spans="2:37" x14ac:dyDescent="0.2">
      <c r="B29" s="38">
        <v>1.3165</v>
      </c>
      <c r="C29" s="47">
        <v>4.2892305927285E-7</v>
      </c>
      <c r="D29" s="48">
        <v>5.88840607959007E-7</v>
      </c>
      <c r="E29" s="12"/>
      <c r="I29" s="30">
        <f t="shared" si="4"/>
        <v>1.3165</v>
      </c>
      <c r="J29" s="1">
        <f t="shared" si="4"/>
        <v>4.2892305927285E-7</v>
      </c>
      <c r="K29" s="1">
        <f t="shared" si="5"/>
        <v>1.1307878310671148E-7</v>
      </c>
      <c r="L29" s="30">
        <f t="shared" si="6"/>
        <v>1.3165</v>
      </c>
      <c r="M29" s="1">
        <f t="shared" si="7"/>
        <v>0</v>
      </c>
      <c r="N29" s="1">
        <f t="shared" si="8"/>
        <v>3.0329440381911167E-7</v>
      </c>
      <c r="P29" s="38">
        <v>1.3144</v>
      </c>
      <c r="Q29" s="47">
        <v>3.5114971454390901E-7</v>
      </c>
      <c r="R29" s="47">
        <v>4.89527128054902E-7</v>
      </c>
      <c r="S29" s="12"/>
      <c r="T29" s="12"/>
      <c r="V29" s="30">
        <f t="shared" si="0"/>
        <v>1.3144</v>
      </c>
      <c r="W29" s="1">
        <f t="shared" si="0"/>
        <v>3.5114971454390901E-7</v>
      </c>
      <c r="X29" s="13">
        <f t="shared" si="1"/>
        <v>9.7847607456678125E-8</v>
      </c>
      <c r="Y29" s="1"/>
      <c r="AA29" s="38">
        <v>1.2634000000000001</v>
      </c>
      <c r="AB29" s="12">
        <v>2.13312980093459E-7</v>
      </c>
      <c r="AC29" s="12">
        <v>3.2988182857502002E-7</v>
      </c>
      <c r="AD29" s="12">
        <v>3.0233967004279198E-6</v>
      </c>
      <c r="AE29" s="1"/>
      <c r="AF29" s="1"/>
      <c r="AH29" s="30">
        <f t="shared" si="2"/>
        <v>1.2634000000000001</v>
      </c>
      <c r="AI29" s="1">
        <f t="shared" si="2"/>
        <v>2.13312980093459E-7</v>
      </c>
      <c r="AJ29" s="1">
        <f t="shared" si="3"/>
        <v>8.2426623236418976E-8</v>
      </c>
      <c r="AK29" s="1"/>
    </row>
    <row r="30" spans="2:37" x14ac:dyDescent="0.2">
      <c r="B30" s="38">
        <v>1.5217000000000001</v>
      </c>
      <c r="C30" s="47">
        <v>4.3233073494032502E-7</v>
      </c>
      <c r="D30" s="48">
        <v>6.01344652344628E-7</v>
      </c>
      <c r="E30" s="12"/>
      <c r="I30" s="30">
        <f t="shared" si="4"/>
        <v>1.5217000000000001</v>
      </c>
      <c r="J30" s="1">
        <f t="shared" si="4"/>
        <v>4.3233073494032502E-7</v>
      </c>
      <c r="K30" s="1">
        <f t="shared" si="5"/>
        <v>1.1951088711148569E-7</v>
      </c>
      <c r="L30" s="30">
        <f t="shared" si="6"/>
        <v>1.5217000000000001</v>
      </c>
      <c r="M30" s="1">
        <f t="shared" si="7"/>
        <v>0</v>
      </c>
      <c r="N30" s="1">
        <f t="shared" si="8"/>
        <v>3.0570399439166769E-7</v>
      </c>
      <c r="P30" s="38">
        <v>1.4955000000000001</v>
      </c>
      <c r="Q30" s="47">
        <v>3.4498059390989099E-7</v>
      </c>
      <c r="R30" s="47">
        <v>4.6369023412282999E-7</v>
      </c>
      <c r="S30" s="12"/>
      <c r="T30" s="12"/>
      <c r="V30" s="30">
        <f t="shared" si="0"/>
        <v>1.4955000000000001</v>
      </c>
      <c r="W30" s="1">
        <f t="shared" si="0"/>
        <v>3.4498059390989099E-7</v>
      </c>
      <c r="X30" s="13">
        <f t="shared" si="1"/>
        <v>8.3940391586784441E-8</v>
      </c>
      <c r="Y30" s="1"/>
      <c r="AA30" s="38">
        <v>1.4255</v>
      </c>
      <c r="AB30" s="12">
        <v>1.7151137347379101E-7</v>
      </c>
      <c r="AC30" s="12">
        <v>2.3955945098566003E-7</v>
      </c>
      <c r="AD30" s="12">
        <v>1.39769290444796E-5</v>
      </c>
      <c r="AE30" s="1"/>
      <c r="AF30" s="1"/>
      <c r="AH30" s="30">
        <f t="shared" si="2"/>
        <v>1.4255</v>
      </c>
      <c r="AI30" s="1">
        <f t="shared" si="2"/>
        <v>1.7151137347379101E-7</v>
      </c>
      <c r="AJ30" s="1">
        <f t="shared" si="3"/>
        <v>4.8117257055350386E-8</v>
      </c>
      <c r="AK30" s="1"/>
    </row>
    <row r="31" spans="2:37" x14ac:dyDescent="0.2">
      <c r="B31" s="38">
        <v>1.6948000000000001</v>
      </c>
      <c r="C31" s="47">
        <v>6.6916702874571502E-7</v>
      </c>
      <c r="D31" s="48">
        <v>8.7068007765753095E-7</v>
      </c>
      <c r="E31" s="12"/>
      <c r="I31" s="30">
        <f t="shared" si="4"/>
        <v>1.6948000000000001</v>
      </c>
      <c r="J31" s="1">
        <f t="shared" si="4"/>
        <v>6.6916702874571502E-7</v>
      </c>
      <c r="K31" s="1">
        <f t="shared" si="5"/>
        <v>1.4249124338312148E-7</v>
      </c>
      <c r="L31" s="30">
        <f t="shared" si="6"/>
        <v>1.6948000000000001</v>
      </c>
      <c r="M31" s="1">
        <f t="shared" si="7"/>
        <v>0</v>
      </c>
      <c r="N31" s="1">
        <f t="shared" si="8"/>
        <v>4.7317254377254848E-7</v>
      </c>
      <c r="P31" s="38">
        <v>1.619</v>
      </c>
      <c r="Q31" s="47">
        <v>3.8633763354586302E-7</v>
      </c>
      <c r="R31" s="47">
        <v>4.5775458341380702E-7</v>
      </c>
      <c r="S31" s="12"/>
      <c r="T31" s="12"/>
      <c r="V31" s="30">
        <f t="shared" si="0"/>
        <v>1.619</v>
      </c>
      <c r="W31" s="1">
        <f t="shared" si="0"/>
        <v>3.8633763354586302E-7</v>
      </c>
      <c r="X31" s="13">
        <f t="shared" si="1"/>
        <v>5.0499409543282911E-8</v>
      </c>
      <c r="Y31" s="1"/>
      <c r="AA31" s="38">
        <v>1.6357999999999999</v>
      </c>
      <c r="AB31" s="12">
        <v>2.1526484059641E-7</v>
      </c>
      <c r="AC31" s="12">
        <v>3.2276077314802299E-7</v>
      </c>
      <c r="AD31" s="12">
        <v>4.0699669877158502E-6</v>
      </c>
      <c r="AE31" s="1"/>
      <c r="AF31" s="1"/>
      <c r="AH31" s="30">
        <f t="shared" si="2"/>
        <v>1.6357999999999999</v>
      </c>
      <c r="AI31" s="1">
        <f t="shared" si="2"/>
        <v>2.1526484059641E-7</v>
      </c>
      <c r="AJ31" s="1">
        <f t="shared" si="3"/>
        <v>7.6011102857217279E-8</v>
      </c>
      <c r="AK31" s="1"/>
    </row>
    <row r="32" spans="2:37" x14ac:dyDescent="0.2">
      <c r="B32" s="38">
        <v>1.8841000000000001</v>
      </c>
      <c r="C32" s="47">
        <v>8.8122399114596201E-7</v>
      </c>
      <c r="D32" s="48">
        <v>9.921134152687471E-7</v>
      </c>
      <c r="E32" s="12"/>
      <c r="I32" s="30">
        <f t="shared" si="4"/>
        <v>1.8841000000000001</v>
      </c>
      <c r="J32" s="1">
        <f t="shared" si="4"/>
        <v>8.8122399114596201E-7</v>
      </c>
      <c r="K32" s="1">
        <f t="shared" si="5"/>
        <v>7.841066375909246E-8</v>
      </c>
      <c r="L32" s="30">
        <f t="shared" si="6"/>
        <v>1.8841000000000001</v>
      </c>
      <c r="M32" s="1">
        <f t="shared" si="7"/>
        <v>0</v>
      </c>
      <c r="N32" s="1">
        <f t="shared" si="8"/>
        <v>6.2311945988358388E-7</v>
      </c>
      <c r="P32" s="38">
        <v>1.7941</v>
      </c>
      <c r="Q32" s="47">
        <v>2.2311571791742499E-7</v>
      </c>
      <c r="R32" s="47">
        <v>3.1078359355087798E-7</v>
      </c>
      <c r="S32" s="12"/>
      <c r="T32" s="12"/>
      <c r="V32" s="30">
        <f t="shared" si="0"/>
        <v>1.7941</v>
      </c>
      <c r="W32" s="1">
        <f t="shared" si="0"/>
        <v>2.2311571791742499E-7</v>
      </c>
      <c r="X32" s="13">
        <f t="shared" si="1"/>
        <v>6.1990549352633508E-8</v>
      </c>
      <c r="Y32" s="1"/>
      <c r="AA32" s="38">
        <v>1.8287</v>
      </c>
      <c r="AB32" s="12">
        <v>2.3932365085651602E-7</v>
      </c>
      <c r="AC32" s="12">
        <v>3.1885192130458998E-7</v>
      </c>
      <c r="AD32" s="12">
        <v>7.4109660607268203E-6</v>
      </c>
      <c r="AE32" s="1"/>
      <c r="AF32" s="1"/>
      <c r="AH32" s="30">
        <f t="shared" si="2"/>
        <v>1.8287</v>
      </c>
      <c r="AI32" s="1">
        <f t="shared" si="2"/>
        <v>2.3932365085651602E-7</v>
      </c>
      <c r="AJ32" s="1">
        <f t="shared" si="3"/>
        <v>5.6234979329870811E-8</v>
      </c>
      <c r="AK32" s="1"/>
    </row>
    <row r="33" spans="1:45" x14ac:dyDescent="0.2">
      <c r="B33" s="38">
        <v>2.0545</v>
      </c>
      <c r="C33" s="47">
        <v>2.54142406922554E-7</v>
      </c>
      <c r="D33" s="48">
        <v>3.8589644251042602E-7</v>
      </c>
      <c r="E33" s="12"/>
      <c r="I33" s="30">
        <f t="shared" si="4"/>
        <v>2.0545</v>
      </c>
      <c r="J33" s="1">
        <f t="shared" si="4"/>
        <v>2.54142406922554E-7</v>
      </c>
      <c r="K33" s="1">
        <f t="shared" si="5"/>
        <v>9.3164172012878013E-8</v>
      </c>
      <c r="L33" s="30">
        <f t="shared" si="6"/>
        <v>2.0545</v>
      </c>
      <c r="M33" s="1">
        <f t="shared" si="7"/>
        <v>0</v>
      </c>
      <c r="N33" s="1">
        <f t="shared" si="8"/>
        <v>1.7970581932200891E-7</v>
      </c>
      <c r="P33" s="38">
        <v>2.0021</v>
      </c>
      <c r="Q33" s="47">
        <v>1.9883528376227E-7</v>
      </c>
      <c r="R33" s="47">
        <v>3.1772392049940702E-7</v>
      </c>
      <c r="S33" s="12"/>
      <c r="T33" s="12"/>
      <c r="V33" s="30">
        <f t="shared" si="0"/>
        <v>2.0021</v>
      </c>
      <c r="W33" s="1">
        <f t="shared" si="0"/>
        <v>1.9883528376227E-7</v>
      </c>
      <c r="X33" s="13">
        <f t="shared" si="1"/>
        <v>8.4066961242853675E-8</v>
      </c>
      <c r="Y33" s="1"/>
      <c r="AA33" s="38">
        <v>2.0091000000000001</v>
      </c>
      <c r="AB33" s="12">
        <v>4.5117822827028898E-7</v>
      </c>
      <c r="AC33" s="12">
        <v>5.81266043588243E-7</v>
      </c>
      <c r="AD33" s="12">
        <v>2.00841411527206E-6</v>
      </c>
      <c r="AE33" s="1"/>
      <c r="AF33" s="1"/>
      <c r="AH33" s="30">
        <f t="shared" si="2"/>
        <v>2.0091000000000001</v>
      </c>
      <c r="AI33" s="1">
        <f t="shared" si="2"/>
        <v>4.5117822827028898E-7</v>
      </c>
      <c r="AJ33" s="1">
        <f t="shared" si="3"/>
        <v>9.1985976361068526E-8</v>
      </c>
      <c r="AK33" s="1"/>
    </row>
    <row r="34" spans="1:45" x14ac:dyDescent="0.2">
      <c r="B34" s="38">
        <v>2.2132999999999998</v>
      </c>
      <c r="C34" s="47">
        <v>9.2079297180121001E-7</v>
      </c>
      <c r="D34" s="48">
        <v>1.19725923023152E-6</v>
      </c>
      <c r="E34" s="12"/>
      <c r="I34" s="30">
        <f t="shared" si="4"/>
        <v>2.2132999999999998</v>
      </c>
      <c r="J34" s="1">
        <f t="shared" si="4"/>
        <v>9.2079297180121001E-7</v>
      </c>
      <c r="K34" s="1">
        <f t="shared" si="5"/>
        <v>1.9549116610534473E-7</v>
      </c>
      <c r="L34" s="30">
        <f t="shared" si="6"/>
        <v>2.2132999999999998</v>
      </c>
      <c r="M34" s="1">
        <f t="shared" si="7"/>
        <v>0</v>
      </c>
      <c r="N34" s="1">
        <f t="shared" si="8"/>
        <v>6.5109895442954906E-7</v>
      </c>
      <c r="P34" s="38">
        <v>2.1943999999999999</v>
      </c>
      <c r="Q34" s="47">
        <v>3.5751424601075099E-7</v>
      </c>
      <c r="R34" s="47">
        <v>4.6377123224602601E-7</v>
      </c>
      <c r="S34" s="12"/>
      <c r="T34" s="12"/>
      <c r="V34" s="30">
        <f t="shared" si="0"/>
        <v>2.1943999999999999</v>
      </c>
      <c r="W34" s="1">
        <f t="shared" si="0"/>
        <v>3.5751424601075099E-7</v>
      </c>
      <c r="X34" s="13">
        <f t="shared" si="1"/>
        <v>7.5135035515408602E-8</v>
      </c>
      <c r="Y34" s="1"/>
      <c r="AA34" s="38">
        <v>2.2185999999999999</v>
      </c>
      <c r="AB34" s="12">
        <v>3.6718109868048498E-7</v>
      </c>
      <c r="AC34" s="12">
        <v>4.34363623930819E-7</v>
      </c>
      <c r="AD34" s="12">
        <v>3.6271824894039099E-6</v>
      </c>
      <c r="AE34" s="1"/>
      <c r="AF34" s="1"/>
      <c r="AH34" s="30">
        <f t="shared" si="2"/>
        <v>2.2185999999999999</v>
      </c>
      <c r="AI34" s="1">
        <f t="shared" si="2"/>
        <v>3.6718109868048498E-7</v>
      </c>
      <c r="AJ34" s="1">
        <f t="shared" si="3"/>
        <v>4.7505219181747642E-8</v>
      </c>
      <c r="AK34" s="1"/>
    </row>
    <row r="35" spans="1:45" x14ac:dyDescent="0.2">
      <c r="B35" s="38">
        <v>2.4051</v>
      </c>
      <c r="C35" s="47">
        <v>1.0019992394249901E-6</v>
      </c>
      <c r="D35" s="48">
        <v>1.16280417561367E-6</v>
      </c>
      <c r="E35" s="12"/>
      <c r="I35" s="30">
        <f t="shared" si="4"/>
        <v>2.4051</v>
      </c>
      <c r="J35" s="1">
        <f t="shared" si="4"/>
        <v>1.0019992394249901E-6</v>
      </c>
      <c r="K35" s="1">
        <f t="shared" si="5"/>
        <v>1.1370626082728561E-7</v>
      </c>
      <c r="L35" s="30">
        <f t="shared" si="6"/>
        <v>2.4051</v>
      </c>
      <c r="M35" s="1">
        <f t="shared" si="7"/>
        <v>0</v>
      </c>
      <c r="N35" s="1">
        <f t="shared" si="8"/>
        <v>7.0852045694117352E-7</v>
      </c>
      <c r="P35" s="38">
        <v>2.4365999999999999</v>
      </c>
      <c r="Q35" s="47">
        <v>2.57203757717042E-7</v>
      </c>
      <c r="R35" s="47">
        <v>3.6914240497004402E-7</v>
      </c>
      <c r="S35" s="12"/>
      <c r="T35" s="12"/>
      <c r="V35" s="30">
        <f t="shared" si="0"/>
        <v>2.4365999999999999</v>
      </c>
      <c r="W35" s="1">
        <f t="shared" si="0"/>
        <v>2.57203757717042E-7</v>
      </c>
      <c r="X35" s="13">
        <f t="shared" si="1"/>
        <v>7.9152576549446627E-8</v>
      </c>
      <c r="Y35" s="1"/>
      <c r="AA35" s="38">
        <v>2.4592999999999998</v>
      </c>
      <c r="AB35" s="12">
        <v>3.7991178489574801E-7</v>
      </c>
      <c r="AC35" s="12">
        <v>4.9681423257137202E-7</v>
      </c>
      <c r="AD35" s="12">
        <v>3.7642047281173798E-6</v>
      </c>
      <c r="AE35" s="1"/>
      <c r="AF35" s="1"/>
      <c r="AH35" s="30">
        <f t="shared" si="2"/>
        <v>2.4592999999999998</v>
      </c>
      <c r="AI35" s="1">
        <f t="shared" si="2"/>
        <v>3.7991178489574801E-7</v>
      </c>
      <c r="AJ35" s="1">
        <f t="shared" si="3"/>
        <v>8.2662513488739279E-8</v>
      </c>
      <c r="AK35" s="1"/>
    </row>
    <row r="36" spans="1:45" x14ac:dyDescent="0.2">
      <c r="B36" s="38">
        <v>2.6528999999999998</v>
      </c>
      <c r="C36" s="47">
        <v>4.1807049509296102E-6</v>
      </c>
      <c r="D36" s="48">
        <v>3.7674567800476501E-6</v>
      </c>
      <c r="E36" s="12"/>
      <c r="I36" s="30">
        <f t="shared" si="4"/>
        <v>2.6528999999999998</v>
      </c>
      <c r="J36" s="1">
        <f t="shared" si="4"/>
        <v>4.1807049509296102E-6</v>
      </c>
      <c r="K36" s="1">
        <f t="shared" si="5"/>
        <v>2.9221058394357114E-7</v>
      </c>
      <c r="L36" s="30">
        <f t="shared" si="6"/>
        <v>2.6528999999999998</v>
      </c>
      <c r="M36" s="1">
        <f t="shared" si="7"/>
        <v>0</v>
      </c>
      <c r="N36" s="1">
        <f t="shared" si="8"/>
        <v>2.9562048209424998E-6</v>
      </c>
      <c r="P36" s="38">
        <v>2.6244000000000001</v>
      </c>
      <c r="Q36" s="47">
        <v>2.9392434591550499E-7</v>
      </c>
      <c r="R36" s="47">
        <v>4.1480294634976E-7</v>
      </c>
      <c r="T36" s="12"/>
      <c r="V36" s="30">
        <f t="shared" si="0"/>
        <v>2.6244000000000001</v>
      </c>
      <c r="W36" s="1">
        <f t="shared" si="0"/>
        <v>2.9392434591550499E-7</v>
      </c>
      <c r="X36" s="13">
        <f t="shared" si="1"/>
        <v>8.5474078067400867E-8</v>
      </c>
      <c r="Y36" s="1"/>
      <c r="AA36" s="38">
        <v>2.6861000000000002</v>
      </c>
      <c r="AB36" s="12">
        <v>5.9937175631943197E-7</v>
      </c>
      <c r="AC36" s="12">
        <v>8.5716498704401296E-7</v>
      </c>
      <c r="AD36" s="12">
        <v>8.6105721933273596E-7</v>
      </c>
      <c r="AE36" s="1"/>
      <c r="AF36" s="1"/>
      <c r="AH36" s="30">
        <f t="shared" si="2"/>
        <v>2.6861000000000002</v>
      </c>
      <c r="AI36" s="1">
        <f t="shared" si="2"/>
        <v>5.9937175631943197E-7</v>
      </c>
      <c r="AJ36" s="1">
        <f t="shared" si="3"/>
        <v>1.8228734158933947E-7</v>
      </c>
      <c r="AK36" s="1"/>
    </row>
    <row r="37" spans="1:45" x14ac:dyDescent="0.2">
      <c r="B37" s="38">
        <v>2.8569</v>
      </c>
      <c r="C37" s="47">
        <v>7.4114933650427299E-6</v>
      </c>
      <c r="D37" s="48">
        <v>6.8260643787918402E-6</v>
      </c>
      <c r="E37" s="12"/>
      <c r="I37" s="30">
        <f t="shared" si="4"/>
        <v>2.8569</v>
      </c>
      <c r="J37" s="1">
        <f t="shared" si="4"/>
        <v>7.4114933650427299E-6</v>
      </c>
      <c r="K37" s="1">
        <f t="shared" si="5"/>
        <v>4.1396080608117021E-7</v>
      </c>
      <c r="L37" s="30">
        <f t="shared" si="6"/>
        <v>2.8569</v>
      </c>
      <c r="M37" s="1">
        <f t="shared" si="7"/>
        <v>0</v>
      </c>
      <c r="N37" s="1">
        <f t="shared" si="8"/>
        <v>5.240717217140819E-6</v>
      </c>
      <c r="P37" s="38">
        <v>2.8170000000000002</v>
      </c>
      <c r="Q37" s="47">
        <v>1.0468274989703001E-6</v>
      </c>
      <c r="R37" s="47">
        <v>1.1963773197246601E-6</v>
      </c>
      <c r="T37" s="12"/>
      <c r="V37" s="30">
        <f t="shared" si="0"/>
        <v>2.8170000000000002</v>
      </c>
      <c r="W37" s="1">
        <f t="shared" si="0"/>
        <v>1.0468274989703001E-6</v>
      </c>
      <c r="X37" s="13">
        <f t="shared" si="1"/>
        <v>1.0574769238064065E-7</v>
      </c>
      <c r="Y37" s="1"/>
      <c r="AA37" s="38">
        <v>2.8302</v>
      </c>
      <c r="AB37" s="12">
        <v>1.85393377596616E-6</v>
      </c>
      <c r="AC37" s="12">
        <v>1.86533144890655E-6</v>
      </c>
      <c r="AD37" s="12">
        <v>3.8519411164172E-7</v>
      </c>
      <c r="AE37" s="1"/>
      <c r="AF37" s="1"/>
      <c r="AH37" s="30">
        <f t="shared" si="2"/>
        <v>2.8302</v>
      </c>
      <c r="AI37" s="1">
        <f t="shared" si="2"/>
        <v>1.85393377596616E-6</v>
      </c>
      <c r="AJ37" s="1">
        <f t="shared" si="3"/>
        <v>8.0593718258961768E-9</v>
      </c>
      <c r="AK37" s="1"/>
    </row>
    <row r="38" spans="1:45" x14ac:dyDescent="0.2">
      <c r="B38" s="38">
        <v>3.0607000000000002</v>
      </c>
      <c r="C38" s="47">
        <v>1.6837116608811299E-5</v>
      </c>
      <c r="D38" s="48">
        <v>1.35532586488329E-5</v>
      </c>
      <c r="E38" s="12"/>
      <c r="I38" s="30">
        <f t="shared" si="4"/>
        <v>3.0607000000000002</v>
      </c>
      <c r="J38" s="1">
        <f t="shared" si="4"/>
        <v>1.6837116608811299E-5</v>
      </c>
      <c r="K38" s="1">
        <f t="shared" si="5"/>
        <v>2.3220382319541481E-6</v>
      </c>
      <c r="L38" s="30">
        <f t="shared" si="6"/>
        <v>3.0607000000000002</v>
      </c>
      <c r="M38" s="1">
        <f t="shared" si="7"/>
        <v>0</v>
      </c>
      <c r="N38" s="1">
        <f t="shared" si="8"/>
        <v>1.1905639329719116E-5</v>
      </c>
      <c r="P38" s="38">
        <v>3.0287999999999999</v>
      </c>
      <c r="Q38" s="47">
        <v>4.3019105439208299E-6</v>
      </c>
      <c r="R38" s="47">
        <v>3.5279477122361401E-6</v>
      </c>
      <c r="T38" s="12"/>
      <c r="V38" s="30">
        <f t="shared" si="0"/>
        <v>3.0287999999999999</v>
      </c>
      <c r="W38" s="1">
        <f t="shared" si="0"/>
        <v>4.3019105439208299E-6</v>
      </c>
      <c r="X38" s="13">
        <f t="shared" si="1"/>
        <v>5.4727436667058668E-7</v>
      </c>
      <c r="Y38" s="1"/>
      <c r="AA38" s="38">
        <v>3.0461999999999998</v>
      </c>
      <c r="AB38" s="12">
        <v>2.6101466938003598E-6</v>
      </c>
      <c r="AC38" s="12">
        <v>2.7705143012370999E-6</v>
      </c>
      <c r="AD38" s="12">
        <v>1.6133942113222799E-7</v>
      </c>
      <c r="AE38" s="1"/>
      <c r="AF38" s="1"/>
      <c r="AH38" s="30">
        <f t="shared" si="2"/>
        <v>3.0461999999999998</v>
      </c>
      <c r="AI38" s="1">
        <f t="shared" si="2"/>
        <v>2.6101466938003598E-6</v>
      </c>
      <c r="AJ38" s="1">
        <f t="shared" si="3"/>
        <v>1.1339702270118108E-7</v>
      </c>
      <c r="AK38" s="1"/>
    </row>
    <row r="39" spans="1:45" x14ac:dyDescent="0.2">
      <c r="B39" s="38">
        <v>3.2738999999999998</v>
      </c>
      <c r="C39" s="47">
        <v>2.5780595165069999E-5</v>
      </c>
      <c r="D39" s="48">
        <v>3.31588376110891E-5</v>
      </c>
      <c r="E39" s="12"/>
      <c r="I39" s="30">
        <f t="shared" si="4"/>
        <v>3.2738999999999998</v>
      </c>
      <c r="J39" s="1">
        <f t="shared" si="4"/>
        <v>2.5780595165069999E-5</v>
      </c>
      <c r="K39" s="1">
        <f t="shared" si="5"/>
        <v>5.2172052668185261E-6</v>
      </c>
      <c r="L39" s="30">
        <f t="shared" si="6"/>
        <v>3.2738999999999998</v>
      </c>
      <c r="M39" s="1">
        <f t="shared" si="7"/>
        <v>0</v>
      </c>
      <c r="N39" s="1">
        <f t="shared" si="8"/>
        <v>1.8229633664246116E-5</v>
      </c>
      <c r="P39" s="38">
        <v>3.1783000000000001</v>
      </c>
      <c r="Q39" s="47">
        <v>8.1629584015542998E-6</v>
      </c>
      <c r="R39" s="47">
        <v>8.1360533561794699E-6</v>
      </c>
      <c r="T39" s="12"/>
      <c r="V39" s="30">
        <f t="shared" si="0"/>
        <v>3.1783000000000001</v>
      </c>
      <c r="W39" s="1">
        <f t="shared" si="0"/>
        <v>8.1629584015542998E-6</v>
      </c>
      <c r="X39" s="13">
        <f t="shared" si="1"/>
        <v>1.9024740032674024E-8</v>
      </c>
      <c r="Y39" s="1"/>
      <c r="AA39" s="38">
        <v>3.2528999999999999</v>
      </c>
      <c r="AB39" s="12">
        <v>9.9441188881943298E-6</v>
      </c>
      <c r="AC39" s="12">
        <v>8.8973906364823997E-6</v>
      </c>
      <c r="AD39" s="12">
        <v>5.0426183738024902E-8</v>
      </c>
      <c r="AE39" s="1"/>
      <c r="AF39" s="1"/>
      <c r="AH39" s="30">
        <f t="shared" si="2"/>
        <v>3.2528999999999999</v>
      </c>
      <c r="AI39" s="1">
        <f t="shared" si="2"/>
        <v>9.9441188881943298E-6</v>
      </c>
      <c r="AJ39" s="1">
        <f t="shared" si="3"/>
        <v>7.4014864484504514E-7</v>
      </c>
      <c r="AK39" s="1"/>
    </row>
    <row r="40" spans="1:45" x14ac:dyDescent="0.2">
      <c r="B40" s="38">
        <v>3.4575</v>
      </c>
      <c r="C40" s="47">
        <v>3.0551047718461702E-5</v>
      </c>
      <c r="D40" s="48">
        <v>3.2746703335374697E-5</v>
      </c>
      <c r="E40" s="12"/>
      <c r="I40" s="30">
        <f t="shared" si="4"/>
        <v>3.4575</v>
      </c>
      <c r="J40" s="1">
        <f t="shared" si="4"/>
        <v>3.0551047718461702E-5</v>
      </c>
      <c r="K40" s="1">
        <f t="shared" si="5"/>
        <v>1.5525629758695109E-6</v>
      </c>
      <c r="L40" s="30">
        <f t="shared" si="6"/>
        <v>3.4575</v>
      </c>
      <c r="M40" s="1">
        <f t="shared" si="7"/>
        <v>0</v>
      </c>
      <c r="N40" s="1">
        <f t="shared" si="8"/>
        <v>2.1602853014078071E-5</v>
      </c>
      <c r="P40" s="38">
        <v>3.3159000000000001</v>
      </c>
      <c r="Q40" s="47">
        <v>8.0633941470920994E-6</v>
      </c>
      <c r="R40" s="47">
        <v>8.8328537702577296E-6</v>
      </c>
      <c r="T40" s="12"/>
      <c r="V40" s="30">
        <f t="shared" si="0"/>
        <v>3.3159000000000001</v>
      </c>
      <c r="W40" s="1">
        <f t="shared" si="0"/>
        <v>8.0633941470920994E-6</v>
      </c>
      <c r="X40" s="13">
        <f t="shared" si="1"/>
        <v>5.4409011738966263E-7</v>
      </c>
      <c r="Y40" s="1"/>
      <c r="AA40" s="38">
        <v>3.4756</v>
      </c>
      <c r="AB40" s="12">
        <v>1.5755536590053699E-5</v>
      </c>
      <c r="AC40" s="12">
        <v>1.5406345885370101E-5</v>
      </c>
      <c r="AD40" s="12">
        <v>2.04332740558245E-8</v>
      </c>
      <c r="AE40" s="1"/>
      <c r="AF40" s="1"/>
      <c r="AH40" s="30">
        <f t="shared" si="2"/>
        <v>3.4756</v>
      </c>
      <c r="AI40" s="1">
        <f t="shared" si="2"/>
        <v>1.5755536590053699E-5</v>
      </c>
      <c r="AJ40" s="1">
        <f t="shared" si="3"/>
        <v>2.469151152090813E-7</v>
      </c>
      <c r="AK40" s="1"/>
    </row>
    <row r="41" spans="1:45" x14ac:dyDescent="0.2">
      <c r="B41" s="38">
        <v>3.6606999999999998</v>
      </c>
      <c r="C41" s="47">
        <v>6.84342297600897E-5</v>
      </c>
      <c r="D41" s="48">
        <v>6.5456154304124604E-5</v>
      </c>
      <c r="E41" s="12"/>
      <c r="I41" s="30">
        <f t="shared" si="4"/>
        <v>3.6606999999999998</v>
      </c>
      <c r="J41" s="1">
        <f t="shared" si="4"/>
        <v>6.84342297600897E-5</v>
      </c>
      <c r="K41" s="1">
        <f t="shared" si="5"/>
        <v>2.1058173497981388E-6</v>
      </c>
      <c r="L41" s="30">
        <f t="shared" si="6"/>
        <v>3.6606999999999998</v>
      </c>
      <c r="M41" s="1">
        <f t="shared" si="7"/>
        <v>0</v>
      </c>
      <c r="N41" s="1">
        <f t="shared" si="8"/>
        <v>4.8390307928637662E-5</v>
      </c>
      <c r="P41" s="38">
        <v>3.4771000000000001</v>
      </c>
      <c r="Q41" s="47">
        <v>8.8130557235549802E-6</v>
      </c>
      <c r="R41" s="47">
        <v>1.18313889345658E-5</v>
      </c>
      <c r="T41" s="12"/>
      <c r="V41" s="30">
        <f t="shared" si="0"/>
        <v>3.4771000000000001</v>
      </c>
      <c r="W41" s="1">
        <f t="shared" si="0"/>
        <v>8.8130557235549802E-6</v>
      </c>
      <c r="X41" s="13">
        <f t="shared" si="1"/>
        <v>2.1342838813863172E-6</v>
      </c>
      <c r="Y41" s="1"/>
      <c r="AA41" s="38">
        <v>3.6640000000000001</v>
      </c>
      <c r="AB41" s="12">
        <v>3.5223492912944698E-5</v>
      </c>
      <c r="AC41" s="12">
        <v>3.4013737677878303E-5</v>
      </c>
      <c r="AD41" s="12">
        <v>1.9355211265691599E-8</v>
      </c>
      <c r="AE41" s="1"/>
      <c r="AF41" s="1"/>
      <c r="AH41" s="30">
        <f t="shared" si="2"/>
        <v>3.6640000000000001</v>
      </c>
      <c r="AI41" s="1">
        <f t="shared" si="2"/>
        <v>3.5223492912944698E-5</v>
      </c>
      <c r="AJ41" s="1">
        <f t="shared" si="3"/>
        <v>8.5542613029137364E-7</v>
      </c>
      <c r="AK41" s="1"/>
    </row>
    <row r="42" spans="1:45" x14ac:dyDescent="0.2">
      <c r="B42" s="38">
        <v>3.8910999999999998</v>
      </c>
      <c r="C42" s="47">
        <v>5.8993054163384297E-5</v>
      </c>
      <c r="D42" s="48">
        <v>5.9725146768648099E-5</v>
      </c>
      <c r="E42" s="12"/>
      <c r="I42" s="30">
        <f t="shared" si="4"/>
        <v>3.8910999999999998</v>
      </c>
      <c r="J42" s="1">
        <f t="shared" si="4"/>
        <v>5.8993054163384297E-5</v>
      </c>
      <c r="K42" s="1">
        <f t="shared" si="5"/>
        <v>5.1766764563856076E-7</v>
      </c>
      <c r="L42" s="30">
        <f t="shared" si="6"/>
        <v>3.8910999999999998</v>
      </c>
      <c r="M42" s="1">
        <f t="shared" si="7"/>
        <v>0</v>
      </c>
      <c r="N42" s="1">
        <f t="shared" si="8"/>
        <v>4.1714388641834325E-5</v>
      </c>
      <c r="P42" s="38">
        <v>3.6697000000000002</v>
      </c>
      <c r="Q42" s="47">
        <v>3.25596485630683E-5</v>
      </c>
      <c r="R42" s="47">
        <v>2.7612060638529499E-5</v>
      </c>
      <c r="T42" s="12"/>
      <c r="V42" s="30">
        <f t="shared" si="0"/>
        <v>3.6697000000000002</v>
      </c>
      <c r="W42" s="1">
        <f t="shared" si="0"/>
        <v>3.25596485630683E-5</v>
      </c>
      <c r="X42" s="13">
        <f t="shared" si="1"/>
        <v>3.4984729719580628E-6</v>
      </c>
      <c r="Y42" s="1"/>
      <c r="AA42" s="38">
        <v>3.8812000000000002</v>
      </c>
      <c r="AB42" s="12">
        <v>2.7782135316149601E-5</v>
      </c>
      <c r="AC42" s="12">
        <v>2.7905482577449099E-5</v>
      </c>
      <c r="AD42" s="12">
        <v>1.8927490601049499E-8</v>
      </c>
      <c r="AE42" s="1"/>
      <c r="AF42" s="1"/>
      <c r="AH42" s="30">
        <f t="shared" si="2"/>
        <v>3.8812000000000002</v>
      </c>
      <c r="AI42" s="1">
        <f t="shared" si="2"/>
        <v>2.7782135316149601E-5</v>
      </c>
      <c r="AJ42" s="1">
        <f t="shared" si="3"/>
        <v>8.7219684905663815E-8</v>
      </c>
      <c r="AK42" s="1"/>
    </row>
    <row r="43" spans="1:45" x14ac:dyDescent="0.2">
      <c r="B43" s="38">
        <v>4.0975000000000001</v>
      </c>
      <c r="C43" s="47">
        <v>8.7504899190973397E-5</v>
      </c>
      <c r="D43" s="48">
        <v>9.9618211647071295E-5</v>
      </c>
      <c r="E43" s="12"/>
      <c r="I43" s="30">
        <f t="shared" si="4"/>
        <v>4.0975000000000001</v>
      </c>
      <c r="J43" s="1">
        <f t="shared" si="4"/>
        <v>8.7504899190973397E-5</v>
      </c>
      <c r="K43" s="1">
        <f t="shared" si="5"/>
        <v>8.565405380338298E-6</v>
      </c>
      <c r="L43" s="30">
        <f t="shared" si="6"/>
        <v>4.0975000000000001</v>
      </c>
      <c r="M43" s="1">
        <f t="shared" si="7"/>
        <v>0</v>
      </c>
      <c r="N43" s="1">
        <f t="shared" si="8"/>
        <v>6.1875307604982528E-5</v>
      </c>
      <c r="AA43" s="38">
        <v>4.0567000000000002</v>
      </c>
      <c r="AB43" s="12">
        <v>3.1264832699406103E-5</v>
      </c>
      <c r="AC43" s="12">
        <v>3.4815845460373699E-5</v>
      </c>
      <c r="AD43" s="12">
        <v>1.8829960082128699E-8</v>
      </c>
      <c r="AE43" s="1"/>
      <c r="AF43" s="1"/>
      <c r="AH43" s="30">
        <f t="shared" si="2"/>
        <v>4.0567000000000002</v>
      </c>
      <c r="AI43" s="1">
        <f t="shared" si="2"/>
        <v>3.1264832699406103E-5</v>
      </c>
      <c r="AJ43" s="1">
        <f t="shared" si="3"/>
        <v>2.5109452033601522E-6</v>
      </c>
      <c r="AK43" s="1"/>
    </row>
    <row r="46" spans="1:45" x14ac:dyDescent="0.2">
      <c r="A46" s="41" t="s">
        <v>22</v>
      </c>
    </row>
    <row r="47" spans="1:45" x14ac:dyDescent="0.2">
      <c r="A47" s="2">
        <f>0.0000001</f>
        <v>9.9999999999999995E-8</v>
      </c>
      <c r="Q47" s="2">
        <f>0.0000001</f>
        <v>9.9999999999999995E-8</v>
      </c>
    </row>
    <row r="48" spans="1:45" x14ac:dyDescent="0.2">
      <c r="A48" s="3" t="s">
        <v>0</v>
      </c>
      <c r="Q48" s="3" t="s">
        <v>0</v>
      </c>
      <c r="AI48" s="20">
        <v>9.9999999999999995E-8</v>
      </c>
      <c r="AJ48" s="21"/>
      <c r="AK48" s="21"/>
      <c r="AL48" s="21"/>
      <c r="AM48" s="21"/>
      <c r="AN48" s="21"/>
      <c r="AO48" s="21"/>
      <c r="AP48" s="21"/>
      <c r="AQ48" s="21"/>
      <c r="AR48" s="21"/>
      <c r="AS48" s="21"/>
    </row>
    <row r="49" spans="1:48" x14ac:dyDescent="0.2">
      <c r="A49" t="s">
        <v>11</v>
      </c>
      <c r="C49" s="17" t="s">
        <v>13</v>
      </c>
      <c r="I49" s="19" t="s">
        <v>16</v>
      </c>
      <c r="Q49" t="s">
        <v>11</v>
      </c>
      <c r="S49" s="17" t="s">
        <v>13</v>
      </c>
      <c r="Y49" s="19" t="s">
        <v>16</v>
      </c>
      <c r="AI49" s="22" t="s">
        <v>0</v>
      </c>
      <c r="AJ49" s="21"/>
      <c r="AK49" s="21"/>
      <c r="AL49" s="21"/>
      <c r="AM49" s="21"/>
      <c r="AN49" s="21"/>
      <c r="AO49" s="21"/>
      <c r="AP49" s="21"/>
      <c r="AQ49" s="21"/>
      <c r="AR49" s="21"/>
      <c r="AS49" s="21"/>
    </row>
    <row r="50" spans="1:48" x14ac:dyDescent="0.2">
      <c r="A50" s="9" t="s">
        <v>7</v>
      </c>
      <c r="B50" s="4" t="s">
        <v>8</v>
      </c>
      <c r="C50" s="4" t="s">
        <v>2</v>
      </c>
      <c r="D50" s="4" t="s">
        <v>1</v>
      </c>
      <c r="E50" s="4" t="s">
        <v>5</v>
      </c>
      <c r="F50" s="4" t="s">
        <v>6</v>
      </c>
      <c r="G50" s="5" t="s">
        <v>12</v>
      </c>
      <c r="I50" s="4" t="s">
        <v>2</v>
      </c>
      <c r="J50" s="4" t="s">
        <v>5</v>
      </c>
      <c r="K50" s="4" t="s">
        <v>6</v>
      </c>
      <c r="Q50" s="9" t="s">
        <v>10</v>
      </c>
      <c r="R50" s="4" t="s">
        <v>18</v>
      </c>
      <c r="S50" s="4" t="s">
        <v>2</v>
      </c>
      <c r="T50" s="4" t="s">
        <v>1</v>
      </c>
      <c r="U50" s="4" t="s">
        <v>5</v>
      </c>
      <c r="V50" s="4" t="s">
        <v>6</v>
      </c>
      <c r="W50" s="5" t="s">
        <v>12</v>
      </c>
      <c r="Y50" s="4" t="s">
        <v>2</v>
      </c>
      <c r="Z50" s="4" t="s">
        <v>5</v>
      </c>
      <c r="AA50" s="4" t="s">
        <v>6</v>
      </c>
      <c r="AI50" s="21" t="s">
        <v>11</v>
      </c>
      <c r="AJ50" s="21"/>
      <c r="AK50" s="19" t="s">
        <v>13</v>
      </c>
      <c r="AL50" s="21"/>
      <c r="AM50" s="21"/>
      <c r="AN50" s="21"/>
      <c r="AO50" s="21"/>
      <c r="AP50" s="21"/>
      <c r="AQ50" s="19" t="s">
        <v>16</v>
      </c>
      <c r="AR50" s="21"/>
      <c r="AS50" s="21"/>
      <c r="AT50" s="19" t="s">
        <v>17</v>
      </c>
      <c r="AU50" s="21"/>
      <c r="AV50" s="21"/>
    </row>
    <row r="51" spans="1:48" x14ac:dyDescent="0.2">
      <c r="B51" s="38">
        <v>-3.4807000000000001</v>
      </c>
      <c r="C51" s="14">
        <f>C5</f>
        <v>5.0031459699147701E-5</v>
      </c>
      <c r="D51" s="39">
        <v>0</v>
      </c>
      <c r="E51" s="15">
        <f>EXP((D52-D$51)/(0.008314*310))/C51</f>
        <v>19900.442137974482</v>
      </c>
      <c r="F51" s="15">
        <f>E51*G51</f>
        <v>3.7552134314357906E-4</v>
      </c>
      <c r="G51" s="16">
        <f>(B52-B51)*A$47</f>
        <v>1.8870000000000029E-8</v>
      </c>
      <c r="I51" s="1">
        <f>D5</f>
        <v>6.3123006451794203E-5</v>
      </c>
      <c r="J51" s="1">
        <f>EXP((D52-D$51)/(0.008314*310))/I51</f>
        <v>15773.142389560418</v>
      </c>
      <c r="K51" s="1">
        <f>J51*G51</f>
        <v>2.9763919689100555E-4</v>
      </c>
      <c r="R51" s="38">
        <v>-3.6023999999999998</v>
      </c>
      <c r="S51" s="14">
        <f>Q4</f>
        <v>1.51987552235073E-5</v>
      </c>
      <c r="T51" s="37">
        <v>0</v>
      </c>
      <c r="U51" s="15">
        <f>EXP((T51-T$59)/(0.008314*310))/S51</f>
        <v>172387.37403829402</v>
      </c>
      <c r="V51" s="15">
        <f>U51*W51</f>
        <v>3.911469516928885E-3</v>
      </c>
      <c r="W51" s="16">
        <f>(R52-R51)*Q$47</f>
        <v>2.2689999999999964E-8</v>
      </c>
      <c r="Y51" s="1">
        <f>R4</f>
        <v>1.8049132037172099E-5</v>
      </c>
      <c r="Z51" s="1">
        <f>EXP((T51-T$59)/(0.008314*310))/Y51</f>
        <v>145163.40709543257</v>
      </c>
      <c r="AA51" s="1">
        <f>Z51*W51</f>
        <v>3.2937577069953598E-3</v>
      </c>
      <c r="AI51" s="23" t="s">
        <v>9</v>
      </c>
      <c r="AJ51" s="24" t="s">
        <v>18</v>
      </c>
      <c r="AK51" s="24" t="s">
        <v>2</v>
      </c>
      <c r="AL51" s="24" t="s">
        <v>1</v>
      </c>
      <c r="AM51" s="24" t="s">
        <v>5</v>
      </c>
      <c r="AN51" s="24" t="s">
        <v>6</v>
      </c>
      <c r="AO51" s="25" t="s">
        <v>12</v>
      </c>
      <c r="AP51" s="21"/>
      <c r="AQ51" s="24" t="s">
        <v>2</v>
      </c>
      <c r="AR51" s="24" t="s">
        <v>5</v>
      </c>
      <c r="AS51" s="24" t="s">
        <v>6</v>
      </c>
      <c r="AT51" s="24" t="s">
        <v>2</v>
      </c>
      <c r="AU51" s="24" t="s">
        <v>5</v>
      </c>
      <c r="AV51" s="24" t="s">
        <v>6</v>
      </c>
    </row>
    <row r="52" spans="1:48" x14ac:dyDescent="0.2">
      <c r="B52" s="38">
        <v>-3.2919999999999998</v>
      </c>
      <c r="C52" s="14">
        <f>C6</f>
        <v>3.20440159587961E-5</v>
      </c>
      <c r="D52" s="39">
        <v>-1.1240625000000001E-2</v>
      </c>
      <c r="E52" s="15">
        <f t="shared" ref="E52:E89" si="9">EXP((D53-D$51)/(0.008314*310))/C52</f>
        <v>31973.816336143507</v>
      </c>
      <c r="F52" s="15">
        <f>E52*G52</f>
        <v>5.4099697240754822E-4</v>
      </c>
      <c r="G52" s="16">
        <f t="shared" ref="G52:G88" si="10">(B53-B52)*A$47</f>
        <v>1.6920000000000002E-8</v>
      </c>
      <c r="I52" s="1">
        <f t="shared" ref="I52:I89" si="11">D6</f>
        <v>3.3873609035061999E-5</v>
      </c>
      <c r="J52" s="1">
        <f t="shared" ref="J52:J89" si="12">EXP((D53-D$51)/(0.008314*310))/I52</f>
        <v>30246.835519607124</v>
      </c>
      <c r="K52" s="1">
        <f t="shared" ref="K52:K89" si="13">J52*G52</f>
        <v>5.1177645699175263E-4</v>
      </c>
      <c r="R52" s="38">
        <v>-3.3755000000000002</v>
      </c>
      <c r="S52" s="14">
        <f t="shared" ref="S52:S88" si="14">Q5</f>
        <v>1.73221688963905E-5</v>
      </c>
      <c r="T52" s="37">
        <v>-5.1283000000000002E-2</v>
      </c>
      <c r="U52" s="15">
        <f t="shared" ref="U52:U89" si="15">EXP((T52-T$59)/(0.008314*310))/S52</f>
        <v>148275.62661515383</v>
      </c>
      <c r="V52" s="15">
        <f t="shared" ref="V52:V88" si="16">U52*W52</f>
        <v>1.9587210275861869E-3</v>
      </c>
      <c r="W52" s="16">
        <f>(R53-R52)*Q$47</f>
        <v>1.3210000000000032E-8</v>
      </c>
      <c r="Y52" s="1">
        <f t="shared" ref="Y52:Y89" si="17">R5</f>
        <v>1.5344767662933002E-5</v>
      </c>
      <c r="Z52" s="1">
        <f t="shared" ref="Z52:Z89" si="18">EXP((T52-T$59)/(0.008314*310))/Y52</f>
        <v>167383.14348350934</v>
      </c>
      <c r="AA52" s="1">
        <f t="shared" ref="AA52:AA88" si="19">Z52*W52</f>
        <v>2.2111313254171636E-3</v>
      </c>
      <c r="AI52" s="21"/>
      <c r="AJ52" s="38">
        <v>-3.6450999999999998</v>
      </c>
      <c r="AK52" s="12">
        <f>AB4</f>
        <v>3.1305668074971699E-5</v>
      </c>
      <c r="AL52" s="13">
        <v>0</v>
      </c>
      <c r="AM52" s="26">
        <f>EXP((AL53-AL$61)/(0.008314*310))/AK52</f>
        <v>1197327.6666078924</v>
      </c>
      <c r="AN52" s="26">
        <f>AO52*AM52</f>
        <v>2.4796655975449406E-2</v>
      </c>
      <c r="AO52" s="27">
        <f>(AJ53-AJ52)*Q$47</f>
        <v>2.0709999999999962E-8</v>
      </c>
      <c r="AP52" s="27"/>
      <c r="AQ52" s="26">
        <f>AC4</f>
        <v>3.1198898143966102E-5</v>
      </c>
      <c r="AR52" s="26">
        <f>EXP((AL53-AL$61)/(0.008314*310))/AQ52</f>
        <v>1201425.2020966429</v>
      </c>
      <c r="AS52" s="26">
        <f>AO52*AR52</f>
        <v>2.4881515935421428E-2</v>
      </c>
      <c r="AT52" s="26">
        <f>AD4</f>
        <v>1.9033538281046401E-8</v>
      </c>
      <c r="AU52" s="26">
        <f t="shared" ref="AU52:AU91" si="20">EXP((AL52-AL$61)/(0.008314*310))/AT52</f>
        <v>2039303700.7900951</v>
      </c>
      <c r="AV52" s="26">
        <f t="shared" ref="AV52:AV91" si="21">AO52*AU52</f>
        <v>42.233979643362794</v>
      </c>
    </row>
    <row r="53" spans="1:48" x14ac:dyDescent="0.2">
      <c r="B53" s="38">
        <v>-3.1227999999999998</v>
      </c>
      <c r="C53" s="14">
        <f t="shared" ref="C53:C89" si="22">C7</f>
        <v>4.2337123666558003E-5</v>
      </c>
      <c r="D53" s="39">
        <v>6.2558500000000003E-2</v>
      </c>
      <c r="E53" s="15">
        <f t="shared" si="9"/>
        <v>28489.543214539255</v>
      </c>
      <c r="F53" s="15">
        <f t="shared" ref="F53:F85" si="23">E53*G53</f>
        <v>6.4471836294502252E-4</v>
      </c>
      <c r="G53" s="16">
        <f t="shared" si="10"/>
        <v>2.2629999999999972E-8</v>
      </c>
      <c r="I53" s="1">
        <f t="shared" si="11"/>
        <v>2.8963726111262399E-5</v>
      </c>
      <c r="J53" s="1">
        <f t="shared" si="12"/>
        <v>41643.996688971783</v>
      </c>
      <c r="K53" s="1">
        <f t="shared" si="13"/>
        <v>9.4240364507143027E-4</v>
      </c>
      <c r="R53" s="38">
        <v>-3.2433999999999998</v>
      </c>
      <c r="S53" s="14">
        <f t="shared" si="14"/>
        <v>6.6377629470578699E-6</v>
      </c>
      <c r="T53" s="37">
        <v>-3.7883E-2</v>
      </c>
      <c r="U53" s="15">
        <f t="shared" si="15"/>
        <v>388962.97598488396</v>
      </c>
      <c r="V53" s="15">
        <f t="shared" si="16"/>
        <v>6.8574172666135006E-3</v>
      </c>
      <c r="W53" s="16">
        <f t="shared" ref="W53:W87" si="24">(R54-R53)*Q$47</f>
        <v>1.762999999999999E-8</v>
      </c>
      <c r="Y53" s="1">
        <f t="shared" si="17"/>
        <v>9.0871805363024294E-6</v>
      </c>
      <c r="Z53" s="1">
        <f t="shared" si="18"/>
        <v>284119.37228005973</v>
      </c>
      <c r="AA53" s="1">
        <f t="shared" si="19"/>
        <v>5.0090245332974504E-3</v>
      </c>
      <c r="AI53" s="21"/>
      <c r="AJ53" s="38">
        <v>-3.4380000000000002</v>
      </c>
      <c r="AK53" s="12">
        <f t="shared" ref="AK53:AK91" si="25">AB5</f>
        <v>1.0460256758910199E-5</v>
      </c>
      <c r="AL53" s="13">
        <v>-0.09</v>
      </c>
      <c r="AM53" s="26">
        <f t="shared" ref="AM53:AM91" si="26">EXP((AL54-AL$61)/(0.008314*310))/AK53</f>
        <v>3189643.6930353632</v>
      </c>
      <c r="AN53" s="26">
        <f t="shared" ref="AN53:AN91" si="27">AO53*AM53</f>
        <v>6.1017883847766512E-2</v>
      </c>
      <c r="AO53" s="27">
        <f t="shared" ref="AO53:AO91" si="28">(AJ54-AJ53)*Q$47</f>
        <v>1.9130000000000003E-8</v>
      </c>
      <c r="AP53" s="27"/>
      <c r="AQ53" s="26">
        <f t="shared" ref="AQ53:AQ91" si="29">AC5</f>
        <v>1.22992374615128E-5</v>
      </c>
      <c r="AR53" s="26">
        <f t="shared" ref="AR53:AR90" si="30">EXP((AL54-AL$61)/(0.008314*310))/AQ53</f>
        <v>2712728.5006890688</v>
      </c>
      <c r="AS53" s="26">
        <f t="shared" ref="AS53:AS90" si="31">AO53*AR53</f>
        <v>5.1894496218181894E-2</v>
      </c>
      <c r="AT53" s="26">
        <f t="shared" ref="AT53:AT91" si="32">AD5</f>
        <v>2.1411082147357301E-8</v>
      </c>
      <c r="AU53" s="26">
        <f t="shared" si="20"/>
        <v>1750642132.417089</v>
      </c>
      <c r="AV53" s="26">
        <f t="shared" si="21"/>
        <v>33.489783993138921</v>
      </c>
    </row>
    <row r="54" spans="1:48" x14ac:dyDescent="0.2">
      <c r="B54" s="38">
        <v>-2.8965000000000001</v>
      </c>
      <c r="C54" s="14">
        <f t="shared" si="22"/>
        <v>6.7177795391761997E-6</v>
      </c>
      <c r="D54" s="39">
        <v>0.48311250000000006</v>
      </c>
      <c r="E54" s="15">
        <f t="shared" si="9"/>
        <v>236121.22795018181</v>
      </c>
      <c r="F54" s="15">
        <f t="shared" si="23"/>
        <v>3.9857263277990702E-3</v>
      </c>
      <c r="G54" s="16">
        <f t="shared" si="10"/>
        <v>1.6880000000000006E-8</v>
      </c>
      <c r="I54" s="1">
        <f t="shared" si="11"/>
        <v>7.6924585220136098E-6</v>
      </c>
      <c r="J54" s="1">
        <f t="shared" si="12"/>
        <v>206203.30279969814</v>
      </c>
      <c r="K54" s="1">
        <f t="shared" si="13"/>
        <v>3.4807117512589058E-3</v>
      </c>
      <c r="R54" s="38">
        <v>-3.0670999999999999</v>
      </c>
      <c r="S54" s="14">
        <f t="shared" si="14"/>
        <v>5.0827534450583397E-6</v>
      </c>
      <c r="T54" s="37">
        <v>0.17626</v>
      </c>
      <c r="U54" s="15">
        <f t="shared" si="15"/>
        <v>551969.53651841742</v>
      </c>
      <c r="V54" s="15">
        <f t="shared" si="16"/>
        <v>1.0106562213652224E-2</v>
      </c>
      <c r="W54" s="16">
        <f t="shared" si="24"/>
        <v>1.8310000000000003E-8</v>
      </c>
      <c r="Y54" s="1">
        <f>R7</f>
        <v>4.7950591482616896E-6</v>
      </c>
      <c r="Z54" s="1">
        <f t="shared" si="18"/>
        <v>585086.64368056925</v>
      </c>
      <c r="AA54" s="1">
        <f t="shared" si="19"/>
        <v>1.0712936445791224E-2</v>
      </c>
      <c r="AI54" s="21"/>
      <c r="AJ54" s="38">
        <v>-3.2467000000000001</v>
      </c>
      <c r="AK54" s="12">
        <f t="shared" si="25"/>
        <v>6.0110950465239102E-6</v>
      </c>
      <c r="AL54" s="13">
        <v>-0.39</v>
      </c>
      <c r="AM54" s="26">
        <f t="shared" si="26"/>
        <v>4483872.0712235905</v>
      </c>
      <c r="AN54" s="26">
        <f t="shared" si="27"/>
        <v>9.9138411494753706E-2</v>
      </c>
      <c r="AO54" s="27">
        <f t="shared" si="28"/>
        <v>2.2110000000000027E-8</v>
      </c>
      <c r="AP54" s="27"/>
      <c r="AQ54" s="26">
        <f t="shared" si="29"/>
        <v>7.0134720544153099E-6</v>
      </c>
      <c r="AR54" s="26">
        <f t="shared" si="30"/>
        <v>3843029.6702488265</v>
      </c>
      <c r="AS54" s="26">
        <f t="shared" si="31"/>
        <v>8.4969386009201661E-2</v>
      </c>
      <c r="AT54" s="26">
        <f t="shared" si="32"/>
        <v>5.6341740600749699E-8</v>
      </c>
      <c r="AU54" s="26">
        <f t="shared" si="20"/>
        <v>592180710.83420682</v>
      </c>
      <c r="AV54" s="26">
        <f t="shared" si="21"/>
        <v>13.093115516544328</v>
      </c>
    </row>
    <row r="55" spans="1:48" x14ac:dyDescent="0.2">
      <c r="B55" s="38">
        <v>-2.7277</v>
      </c>
      <c r="C55" s="14">
        <f t="shared" si="22"/>
        <v>9.1524925164310199E-6</v>
      </c>
      <c r="D55" s="39">
        <v>1.1890499999999999</v>
      </c>
      <c r="E55" s="15">
        <f t="shared" si="9"/>
        <v>244441.94893420028</v>
      </c>
      <c r="F55" s="15">
        <f t="shared" si="23"/>
        <v>3.8866269880537796E-3</v>
      </c>
      <c r="G55" s="16">
        <f t="shared" si="10"/>
        <v>1.589999999999998E-8</v>
      </c>
      <c r="I55" s="1">
        <f t="shared" si="11"/>
        <v>7.7243139641471298E-6</v>
      </c>
      <c r="J55" s="1">
        <f t="shared" si="12"/>
        <v>289637.77478575148</v>
      </c>
      <c r="K55" s="1">
        <f t="shared" si="13"/>
        <v>4.6052406190934423E-3</v>
      </c>
      <c r="R55" s="38">
        <v>-2.8839999999999999</v>
      </c>
      <c r="S55" s="14">
        <f t="shared" si="14"/>
        <v>1.24201899037426E-6</v>
      </c>
      <c r="T55" s="37">
        <v>0.50665000000000004</v>
      </c>
      <c r="U55" s="15">
        <f t="shared" si="15"/>
        <v>2567782.6412394955</v>
      </c>
      <c r="V55" s="15">
        <f t="shared" si="16"/>
        <v>4.5013229700928352E-2</v>
      </c>
      <c r="W55" s="16">
        <f t="shared" si="24"/>
        <v>1.7529999999999999E-8</v>
      </c>
      <c r="Y55" s="1">
        <f t="shared" si="17"/>
        <v>1.36545883866105E-6</v>
      </c>
      <c r="Z55" s="1">
        <f t="shared" si="18"/>
        <v>2335650.634991054</v>
      </c>
      <c r="AA55" s="1">
        <f>Z55*W55</f>
        <v>4.0943955631393171E-2</v>
      </c>
      <c r="AI55" s="21"/>
      <c r="AJ55" s="38">
        <v>-3.0255999999999998</v>
      </c>
      <c r="AK55" s="12">
        <f t="shared" si="25"/>
        <v>3.4262711605936698E-6</v>
      </c>
      <c r="AL55" s="13">
        <v>-0.94</v>
      </c>
      <c r="AM55" s="26">
        <f t="shared" si="26"/>
        <v>7002185.3137933137</v>
      </c>
      <c r="AN55" s="26">
        <f t="shared" si="27"/>
        <v>0.12400870190727946</v>
      </c>
      <c r="AO55" s="27">
        <f t="shared" si="28"/>
        <v>1.7709999999999981E-8</v>
      </c>
      <c r="AP55" s="27"/>
      <c r="AQ55" s="26">
        <f t="shared" si="29"/>
        <v>3.5750732770543598E-6</v>
      </c>
      <c r="AR55" s="26">
        <f t="shared" si="30"/>
        <v>6710739.5408549476</v>
      </c>
      <c r="AS55" s="26">
        <f t="shared" si="31"/>
        <v>0.118847197268541</v>
      </c>
      <c r="AT55" s="26">
        <f t="shared" si="32"/>
        <v>1.6559573119594699E-7</v>
      </c>
      <c r="AU55" s="26">
        <f t="shared" si="20"/>
        <v>162763743.98012689</v>
      </c>
      <c r="AV55" s="26">
        <f t="shared" si="21"/>
        <v>2.882545905888044</v>
      </c>
    </row>
    <row r="56" spans="1:48" x14ac:dyDescent="0.2">
      <c r="B56" s="38">
        <v>-2.5687000000000002</v>
      </c>
      <c r="C56" s="14">
        <f t="shared" si="22"/>
        <v>1.52037210921573E-6</v>
      </c>
      <c r="D56" s="39">
        <v>2.0753999999999997</v>
      </c>
      <c r="E56" s="15">
        <f t="shared" si="9"/>
        <v>1521992.5152529997</v>
      </c>
      <c r="F56" s="15">
        <f t="shared" si="23"/>
        <v>3.3712134212853982E-2</v>
      </c>
      <c r="G56" s="16">
        <f t="shared" si="10"/>
        <v>2.2150000000000023E-8</v>
      </c>
      <c r="I56" s="1">
        <f t="shared" si="11"/>
        <v>2.0423455710597702E-6</v>
      </c>
      <c r="J56" s="1">
        <f t="shared" si="12"/>
        <v>1133008.5385231983</v>
      </c>
      <c r="K56" s="1">
        <f t="shared" si="13"/>
        <v>2.5096139128288869E-2</v>
      </c>
      <c r="R56" s="38">
        <v>-2.7086999999999999</v>
      </c>
      <c r="S56" s="14">
        <f t="shared" si="14"/>
        <v>4.8112479196001399E-7</v>
      </c>
      <c r="T56" s="37">
        <v>0.74753999999999998</v>
      </c>
      <c r="U56" s="15">
        <f t="shared" si="15"/>
        <v>7278131.6957750004</v>
      </c>
      <c r="V56" s="15">
        <f t="shared" si="16"/>
        <v>0.14075906699628851</v>
      </c>
      <c r="W56" s="16">
        <f t="shared" si="24"/>
        <v>1.934E-8</v>
      </c>
      <c r="Y56" s="1">
        <f t="shared" si="17"/>
        <v>5.6163655005579901E-7</v>
      </c>
      <c r="Z56" s="1">
        <f t="shared" si="18"/>
        <v>6234796.5025414312</v>
      </c>
      <c r="AA56" s="1">
        <f t="shared" si="19"/>
        <v>0.12058096435915128</v>
      </c>
      <c r="AI56" s="21"/>
      <c r="AJ56" s="38">
        <v>-2.8485</v>
      </c>
      <c r="AK56" s="12">
        <f t="shared" si="25"/>
        <v>1.91223164030535E-6</v>
      </c>
      <c r="AL56" s="13">
        <v>-1.24</v>
      </c>
      <c r="AM56" s="26">
        <f t="shared" si="26"/>
        <v>10056966.979800979</v>
      </c>
      <c r="AN56" s="26">
        <f t="shared" si="27"/>
        <v>0.21210143360400274</v>
      </c>
      <c r="AO56" s="27">
        <f t="shared" si="28"/>
        <v>2.1090000000000009E-8</v>
      </c>
      <c r="AP56" s="27"/>
      <c r="AQ56" s="26">
        <f t="shared" si="29"/>
        <v>1.85036340433316E-6</v>
      </c>
      <c r="AR56" s="26">
        <f t="shared" si="30"/>
        <v>10393228.929650273</v>
      </c>
      <c r="AS56" s="26">
        <f t="shared" si="31"/>
        <v>0.21919319812632435</v>
      </c>
      <c r="AT56" s="26">
        <f t="shared" si="32"/>
        <v>2.9942863847139597E-7</v>
      </c>
      <c r="AU56" s="26">
        <f t="shared" si="20"/>
        <v>80123884.356086507</v>
      </c>
      <c r="AV56" s="26">
        <f t="shared" si="21"/>
        <v>1.6898127210698652</v>
      </c>
    </row>
    <row r="57" spans="1:48" x14ac:dyDescent="0.2">
      <c r="B57" s="38">
        <v>-2.3472</v>
      </c>
      <c r="C57" s="14">
        <f t="shared" si="22"/>
        <v>1.86227131365338E-6</v>
      </c>
      <c r="D57" s="39">
        <v>2.1623250000000001</v>
      </c>
      <c r="E57" s="15">
        <f t="shared" si="9"/>
        <v>968513.31287116453</v>
      </c>
      <c r="F57" s="15">
        <f t="shared" si="23"/>
        <v>1.1593104355067831E-2</v>
      </c>
      <c r="G57" s="16">
        <f t="shared" si="10"/>
        <v>1.1969999999999991E-8</v>
      </c>
      <c r="I57" s="1">
        <f t="shared" si="11"/>
        <v>1.80749310156529E-6</v>
      </c>
      <c r="J57" s="1">
        <f t="shared" si="12"/>
        <v>997865.2520938653</v>
      </c>
      <c r="K57" s="1">
        <f t="shared" si="13"/>
        <v>1.1944447067563558E-2</v>
      </c>
      <c r="R57" s="38">
        <v>-2.5152999999999999</v>
      </c>
      <c r="S57" s="14">
        <f t="shared" si="14"/>
        <v>2.2156772400107001E-7</v>
      </c>
      <c r="T57" s="37">
        <v>0.1384</v>
      </c>
      <c r="U57" s="15">
        <f t="shared" si="15"/>
        <v>12477513.828982295</v>
      </c>
      <c r="V57" s="15">
        <f t="shared" si="16"/>
        <v>0.28136793684355049</v>
      </c>
      <c r="W57" s="16">
        <f t="shared" si="24"/>
        <v>2.254999999999998E-8</v>
      </c>
      <c r="Y57" s="1">
        <f t="shared" si="17"/>
        <v>3.1962673679448798E-7</v>
      </c>
      <c r="Z57" s="1">
        <f t="shared" si="18"/>
        <v>8649509.011685282</v>
      </c>
      <c r="AA57" s="1">
        <f t="shared" si="19"/>
        <v>0.19504642821350293</v>
      </c>
      <c r="AI57" s="21"/>
      <c r="AJ57" s="38">
        <v>-2.6375999999999999</v>
      </c>
      <c r="AK57" s="12">
        <f t="shared" si="25"/>
        <v>5.2997005842780503E-7</v>
      </c>
      <c r="AL57" s="13">
        <v>-1.81</v>
      </c>
      <c r="AM57" s="26">
        <f t="shared" si="26"/>
        <v>20916027.17068059</v>
      </c>
      <c r="AN57" s="26">
        <f t="shared" si="27"/>
        <v>0.42062130640238632</v>
      </c>
      <c r="AO57" s="27">
        <f t="shared" si="28"/>
        <v>2.0109999999999983E-8</v>
      </c>
      <c r="AP57" s="27"/>
      <c r="AQ57" s="26">
        <f t="shared" si="29"/>
        <v>5.3908479770025904E-7</v>
      </c>
      <c r="AR57" s="26">
        <f t="shared" si="30"/>
        <v>20562383.114885274</v>
      </c>
      <c r="AS57" s="26">
        <f t="shared" si="31"/>
        <v>0.4135095244403425</v>
      </c>
      <c r="AT57" s="26">
        <f t="shared" si="32"/>
        <v>1.79934884325625E-6</v>
      </c>
      <c r="AU57" s="26">
        <f t="shared" si="20"/>
        <v>10687894.421561474</v>
      </c>
      <c r="AV57" s="26">
        <f t="shared" si="21"/>
        <v>0.21493355681760107</v>
      </c>
    </row>
    <row r="58" spans="1:48" x14ac:dyDescent="0.2">
      <c r="B58" s="38">
        <v>-2.2275</v>
      </c>
      <c r="C58" s="14">
        <f t="shared" si="22"/>
        <v>9.9722238010965502E-7</v>
      </c>
      <c r="D58" s="39">
        <v>1.5201249999999999</v>
      </c>
      <c r="E58" s="15">
        <f>EXP((D59-D$51)/(0.008314*310))/C58</f>
        <v>1369327.4915691812</v>
      </c>
      <c r="F58" s="15">
        <f t="shared" si="23"/>
        <v>2.5359945143861241E-2</v>
      </c>
      <c r="G58" s="16">
        <f t="shared" si="10"/>
        <v>1.8520000000000003E-8</v>
      </c>
      <c r="I58" s="1">
        <f t="shared" si="11"/>
        <v>1.3501656232001801E-6</v>
      </c>
      <c r="J58" s="1">
        <f t="shared" si="12"/>
        <v>1011375.1948858094</v>
      </c>
      <c r="K58" s="1">
        <f t="shared" si="13"/>
        <v>1.8730668609285194E-2</v>
      </c>
      <c r="R58" s="38">
        <v>-2.2898000000000001</v>
      </c>
      <c r="S58" s="14">
        <f t="shared" si="14"/>
        <v>2.4634279703490999E-7</v>
      </c>
      <c r="T58" s="37">
        <v>-1.6474</v>
      </c>
      <c r="U58" s="15">
        <f>EXP((T58-T$59)/(0.008314*310))/S58</f>
        <v>5612787.4228598997</v>
      </c>
      <c r="V58" s="15">
        <f t="shared" si="16"/>
        <v>0.11270477145102684</v>
      </c>
      <c r="W58" s="16">
        <f t="shared" si="24"/>
        <v>2.0080000000000008E-8</v>
      </c>
      <c r="Y58" s="1">
        <f t="shared" si="17"/>
        <v>3.35135007809503E-7</v>
      </c>
      <c r="Z58" s="1">
        <f t="shared" si="18"/>
        <v>4125709.7011351534</v>
      </c>
      <c r="AA58" s="1">
        <f t="shared" si="19"/>
        <v>8.2844250798793914E-2</v>
      </c>
      <c r="AI58" s="21"/>
      <c r="AJ58" s="38">
        <v>-2.4365000000000001</v>
      </c>
      <c r="AK58" s="12">
        <f t="shared" si="25"/>
        <v>4.4833387881323599E-7</v>
      </c>
      <c r="AL58" s="13">
        <v>-3.23</v>
      </c>
      <c r="AM58" s="26">
        <f t="shared" si="26"/>
        <v>11512622.710457059</v>
      </c>
      <c r="AN58" s="26">
        <f t="shared" si="27"/>
        <v>0.20008938270774362</v>
      </c>
      <c r="AO58" s="27">
        <f t="shared" si="28"/>
        <v>1.7379999999999994E-8</v>
      </c>
      <c r="AP58" s="27"/>
      <c r="AQ58" s="26">
        <f t="shared" si="29"/>
        <v>5.1044065628168897E-7</v>
      </c>
      <c r="AR58" s="26">
        <f t="shared" si="30"/>
        <v>10111848.912450593</v>
      </c>
      <c r="AS58" s="26">
        <f t="shared" si="31"/>
        <v>0.17574393409839126</v>
      </c>
      <c r="AT58" s="26">
        <f t="shared" si="32"/>
        <v>3.5297231938192998E-6</v>
      </c>
      <c r="AU58" s="26">
        <f t="shared" si="20"/>
        <v>3140435.5336229312</v>
      </c>
      <c r="AV58" s="26">
        <f t="shared" si="21"/>
        <v>5.4580769574366528E-2</v>
      </c>
    </row>
    <row r="59" spans="1:48" x14ac:dyDescent="0.2">
      <c r="B59" s="38">
        <v>-2.0423</v>
      </c>
      <c r="C59" s="14">
        <f t="shared" si="22"/>
        <v>1.0103655882724299E-6</v>
      </c>
      <c r="D59" s="39">
        <v>0.80293999999999999</v>
      </c>
      <c r="E59" s="15">
        <f>EXP((D60-D$51)/(0.008314*310))/C59</f>
        <v>1295948.6888085622</v>
      </c>
      <c r="F59" s="15">
        <f t="shared" si="23"/>
        <v>2.9301399853961588E-2</v>
      </c>
      <c r="G59" s="16">
        <f t="shared" si="10"/>
        <v>2.2609999999999995E-8</v>
      </c>
      <c r="I59" s="1">
        <f t="shared" si="11"/>
        <v>1.13614687918692E-6</v>
      </c>
      <c r="J59" s="1">
        <f t="shared" si="12"/>
        <v>1152475.9547603584</v>
      </c>
      <c r="K59" s="1">
        <f>J59*G59</f>
        <v>2.6057481337131698E-2</v>
      </c>
      <c r="R59" s="38">
        <v>-2.089</v>
      </c>
      <c r="S59" s="14">
        <f t="shared" si="14"/>
        <v>6.0706508409872397E-7</v>
      </c>
      <c r="T59" s="37">
        <v>-2.4824999999999999</v>
      </c>
      <c r="U59" s="15">
        <f t="shared" si="15"/>
        <v>1647269.8334885209</v>
      </c>
      <c r="V59" s="15">
        <f t="shared" si="16"/>
        <v>3.4790338883277566E-2</v>
      </c>
      <c r="W59" s="16">
        <f t="shared" si="24"/>
        <v>2.1120000000000003E-8</v>
      </c>
      <c r="Y59" s="1">
        <f t="shared" si="17"/>
        <v>7.5229291952767201E-7</v>
      </c>
      <c r="Z59" s="1">
        <f t="shared" si="18"/>
        <v>1329269.4561419655</v>
      </c>
      <c r="AA59" s="1">
        <f t="shared" si="19"/>
        <v>2.8074170913718315E-2</v>
      </c>
      <c r="AI59" s="21"/>
      <c r="AJ59" s="38">
        <v>-2.2627000000000002</v>
      </c>
      <c r="AK59" s="12">
        <f t="shared" si="25"/>
        <v>2.6833783280319402E-7</v>
      </c>
      <c r="AL59" s="13">
        <v>-5.2</v>
      </c>
      <c r="AM59" s="26">
        <f t="shared" si="26"/>
        <v>7492503.5264863176</v>
      </c>
      <c r="AN59" s="26">
        <f t="shared" si="27"/>
        <v>0.11973020635325146</v>
      </c>
      <c r="AO59" s="27">
        <f t="shared" si="28"/>
        <v>1.5980000000000015E-8</v>
      </c>
      <c r="AP59" s="27"/>
      <c r="AQ59" s="26">
        <f t="shared" si="29"/>
        <v>3.3139633839130198E-7</v>
      </c>
      <c r="AR59" s="26">
        <f t="shared" si="30"/>
        <v>6066820.6786089111</v>
      </c>
      <c r="AS59" s="26">
        <f t="shared" si="31"/>
        <v>9.6947794444170482E-2</v>
      </c>
      <c r="AT59" s="26">
        <f t="shared" si="32"/>
        <v>1.32822061896166E-5</v>
      </c>
      <c r="AU59" s="26">
        <f t="shared" si="20"/>
        <v>388602.51989820629</v>
      </c>
      <c r="AV59" s="26">
        <f t="shared" si="21"/>
        <v>6.2098682679733418E-3</v>
      </c>
    </row>
    <row r="60" spans="1:48" x14ac:dyDescent="0.2">
      <c r="B60" s="38">
        <v>-1.8162</v>
      </c>
      <c r="C60" s="14">
        <f t="shared" si="22"/>
        <v>6.4549933671165096E-7</v>
      </c>
      <c r="D60" s="39">
        <v>0.69473549999999995</v>
      </c>
      <c r="E60" s="15">
        <f t="shared" si="9"/>
        <v>3995974.5488397009</v>
      </c>
      <c r="F60" s="15">
        <f t="shared" si="23"/>
        <v>7.9679732503863648E-2</v>
      </c>
      <c r="G60" s="16">
        <f t="shared" si="10"/>
        <v>1.9940000000000002E-8</v>
      </c>
      <c r="I60" s="1">
        <f t="shared" si="11"/>
        <v>9.3247000010364696E-7</v>
      </c>
      <c r="J60" s="1">
        <f t="shared" si="12"/>
        <v>2766200.4359453465</v>
      </c>
      <c r="K60" s="1">
        <f t="shared" si="13"/>
        <v>5.5158036692750212E-2</v>
      </c>
      <c r="R60" s="38">
        <v>-1.8777999999999999</v>
      </c>
      <c r="S60" s="14">
        <f t="shared" si="14"/>
        <v>1.3826692790255199E-7</v>
      </c>
      <c r="T60" s="37">
        <v>-2.1044</v>
      </c>
      <c r="U60" s="15">
        <f t="shared" si="15"/>
        <v>8375165.5112818163</v>
      </c>
      <c r="V60" s="15">
        <f t="shared" si="16"/>
        <v>0.13149009852712434</v>
      </c>
      <c r="W60" s="16">
        <f t="shared" si="24"/>
        <v>1.5699999999999978E-8</v>
      </c>
      <c r="Y60" s="1">
        <f t="shared" si="17"/>
        <v>2.0682248445450899E-7</v>
      </c>
      <c r="Z60" s="1">
        <f t="shared" si="18"/>
        <v>5599045.0408453969</v>
      </c>
      <c r="AA60" s="1">
        <f t="shared" si="19"/>
        <v>8.7905007141272612E-2</v>
      </c>
      <c r="AI60" s="21"/>
      <c r="AJ60" s="38">
        <v>-2.1029</v>
      </c>
      <c r="AK60" s="12">
        <f t="shared" si="25"/>
        <v>4.07942790971539E-7</v>
      </c>
      <c r="AL60" s="13">
        <v>-7.63</v>
      </c>
      <c r="AM60" s="26">
        <f t="shared" si="26"/>
        <v>2451324.1124287136</v>
      </c>
      <c r="AN60" s="26">
        <f t="shared" si="27"/>
        <v>5.4419395295917432E-2</v>
      </c>
      <c r="AO60" s="27">
        <f t="shared" si="28"/>
        <v>2.2199999999999997E-8</v>
      </c>
      <c r="AP60" s="27"/>
      <c r="AQ60" s="26">
        <f t="shared" si="29"/>
        <v>4.8292278200076002E-7</v>
      </c>
      <c r="AR60" s="26">
        <f t="shared" si="30"/>
        <v>2070724.4248386405</v>
      </c>
      <c r="AS60" s="26">
        <f t="shared" si="31"/>
        <v>4.5970082231417811E-2</v>
      </c>
      <c r="AT60" s="26">
        <f t="shared" si="32"/>
        <v>3.2571440707973999E-6</v>
      </c>
      <c r="AU60" s="26">
        <f t="shared" si="20"/>
        <v>617265.34499759472</v>
      </c>
      <c r="AV60" s="26">
        <f t="shared" si="21"/>
        <v>1.37032906589466E-2</v>
      </c>
    </row>
    <row r="61" spans="1:48" x14ac:dyDescent="0.2">
      <c r="B61" s="38">
        <v>-1.6168</v>
      </c>
      <c r="C61" s="14">
        <f t="shared" si="22"/>
        <v>5.0657148124031896E-7</v>
      </c>
      <c r="D61" s="39">
        <v>2.4421749999999998</v>
      </c>
      <c r="E61" s="15">
        <f t="shared" si="9"/>
        <v>12930710.637935983</v>
      </c>
      <c r="F61" s="15">
        <f t="shared" si="23"/>
        <v>0.20275354280283628</v>
      </c>
      <c r="G61" s="16">
        <f t="shared" si="10"/>
        <v>1.5680000000000005E-8</v>
      </c>
      <c r="I61" s="1">
        <f t="shared" si="11"/>
        <v>6.8090487476073195E-7</v>
      </c>
      <c r="J61" s="1">
        <f t="shared" si="12"/>
        <v>9620035.7555832565</v>
      </c>
      <c r="K61" s="1">
        <f t="shared" si="13"/>
        <v>0.15084216064754552</v>
      </c>
      <c r="R61" s="38">
        <v>-1.7208000000000001</v>
      </c>
      <c r="S61" s="14">
        <f t="shared" si="14"/>
        <v>3.6360926206805998E-7</v>
      </c>
      <c r="T61" s="37">
        <v>-0.91276000000000002</v>
      </c>
      <c r="U61" s="15">
        <f t="shared" si="15"/>
        <v>5056779.1047528312</v>
      </c>
      <c r="V61" s="15">
        <f t="shared" si="16"/>
        <v>8.7027168392796297E-2</v>
      </c>
      <c r="W61" s="16">
        <f t="shared" si="24"/>
        <v>1.7210000000000013E-8</v>
      </c>
      <c r="Y61" s="1">
        <f t="shared" si="17"/>
        <v>4.8928385686796198E-7</v>
      </c>
      <c r="Z61" s="1">
        <f t="shared" si="18"/>
        <v>3757924.3478219858</v>
      </c>
      <c r="AA61" s="1">
        <f t="shared" si="19"/>
        <v>6.4673878026016429E-2</v>
      </c>
      <c r="AI61" s="21"/>
      <c r="AJ61" s="38">
        <v>-1.8809</v>
      </c>
      <c r="AK61" s="12">
        <f t="shared" si="25"/>
        <v>4.8070114079386703E-7</v>
      </c>
      <c r="AL61" s="13">
        <v>-9.43</v>
      </c>
      <c r="AM61" s="26">
        <f t="shared" si="26"/>
        <v>3212553.4531768654</v>
      </c>
      <c r="AN61" s="26">
        <f t="shared" si="27"/>
        <v>6.0331753850661522E-2</v>
      </c>
      <c r="AO61" s="27">
        <f t="shared" si="28"/>
        <v>1.8779999999999997E-8</v>
      </c>
      <c r="AP61" s="27"/>
      <c r="AQ61" s="26">
        <f t="shared" si="29"/>
        <v>6.5707280602129203E-7</v>
      </c>
      <c r="AR61" s="26">
        <f t="shared" si="30"/>
        <v>2350238.9623370818</v>
      </c>
      <c r="AS61" s="26">
        <f t="shared" si="31"/>
        <v>4.4137487712690389E-2</v>
      </c>
      <c r="AT61" s="26">
        <f t="shared" si="32"/>
        <v>1.64987208201811E-6</v>
      </c>
      <c r="AU61" s="26">
        <f t="shared" si="20"/>
        <v>606107.59518811188</v>
      </c>
      <c r="AV61" s="26">
        <f t="shared" si="21"/>
        <v>1.1382700637632739E-2</v>
      </c>
    </row>
    <row r="62" spans="1:48" x14ac:dyDescent="0.2">
      <c r="B62" s="38">
        <v>-1.46</v>
      </c>
      <c r="C62" s="14">
        <f t="shared" si="22"/>
        <v>3.3495405374864399E-7</v>
      </c>
      <c r="D62" s="39">
        <v>4.8441500000000008</v>
      </c>
      <c r="E62" s="15">
        <f t="shared" si="9"/>
        <v>80567666.622351751</v>
      </c>
      <c r="F62" s="15">
        <f t="shared" si="23"/>
        <v>1.8345257689909495</v>
      </c>
      <c r="G62" s="16">
        <f t="shared" si="10"/>
        <v>2.2770000000000001E-8</v>
      </c>
      <c r="I62" s="1">
        <f t="shared" si="11"/>
        <v>5.3918597978964098E-7</v>
      </c>
      <c r="J62" s="1">
        <f t="shared" si="12"/>
        <v>50050386.226204522</v>
      </c>
      <c r="K62" s="1">
        <f t="shared" si="13"/>
        <v>1.139647294370677</v>
      </c>
      <c r="R62" s="38">
        <v>-1.5487</v>
      </c>
      <c r="S62" s="14">
        <f t="shared" si="14"/>
        <v>3.4694185126879802E-7</v>
      </c>
      <c r="T62" s="37">
        <v>1.4218</v>
      </c>
      <c r="U62" s="15">
        <f t="shared" si="15"/>
        <v>13111038.264403231</v>
      </c>
      <c r="V62" s="15">
        <f t="shared" si="16"/>
        <v>0.26379408987979308</v>
      </c>
      <c r="W62" s="16">
        <f t="shared" si="24"/>
        <v>2.0120000000000004E-8</v>
      </c>
      <c r="Y62" s="1">
        <f t="shared" si="17"/>
        <v>4.7085242285096599E-7</v>
      </c>
      <c r="Z62" s="1">
        <f t="shared" si="18"/>
        <v>9660708.2532691564</v>
      </c>
      <c r="AA62" s="1">
        <f t="shared" si="19"/>
        <v>0.19437345005577547</v>
      </c>
      <c r="AI62" s="21"/>
      <c r="AJ62" s="38">
        <v>-1.6931</v>
      </c>
      <c r="AK62" s="12">
        <f t="shared" si="25"/>
        <v>7.3047989790794495E-7</v>
      </c>
      <c r="AL62" s="13">
        <v>-8.31</v>
      </c>
      <c r="AM62" s="26">
        <f t="shared" si="26"/>
        <v>7518450.5755471308</v>
      </c>
      <c r="AN62" s="26">
        <f t="shared" si="27"/>
        <v>0.14863976787856675</v>
      </c>
      <c r="AO62" s="27">
        <f t="shared" si="28"/>
        <v>1.9769999999999998E-8</v>
      </c>
      <c r="AP62" s="27"/>
      <c r="AQ62" s="26">
        <f t="shared" si="29"/>
        <v>7.2319294533005205E-7</v>
      </c>
      <c r="AR62" s="26">
        <f t="shared" si="30"/>
        <v>7594207.1121077016</v>
      </c>
      <c r="AS62" s="26">
        <f t="shared" si="31"/>
        <v>0.15013747460636925</v>
      </c>
      <c r="AT62" s="26">
        <f t="shared" si="32"/>
        <v>1.3696072333486001E-6</v>
      </c>
      <c r="AU62" s="26">
        <f t="shared" si="20"/>
        <v>1127533.5528330535</v>
      </c>
      <c r="AV62" s="26">
        <f t="shared" si="21"/>
        <v>2.2291338339509466E-2</v>
      </c>
    </row>
    <row r="63" spans="1:48" x14ac:dyDescent="0.2">
      <c r="B63" s="38">
        <v>-1.2323</v>
      </c>
      <c r="C63" s="14">
        <f t="shared" si="22"/>
        <v>3.3570156703311998E-7</v>
      </c>
      <c r="D63" s="39">
        <v>8.4931999999999999</v>
      </c>
      <c r="E63" s="15">
        <f t="shared" si="9"/>
        <v>316030195.92745513</v>
      </c>
      <c r="F63" s="15">
        <f t="shared" si="23"/>
        <v>6.3711687498974952</v>
      </c>
      <c r="G63" s="16">
        <f t="shared" si="10"/>
        <v>2.016E-8</v>
      </c>
      <c r="I63" s="1">
        <f t="shared" si="11"/>
        <v>4.5057070200440298E-7</v>
      </c>
      <c r="J63" s="1">
        <f t="shared" si="12"/>
        <v>235461008.73996437</v>
      </c>
      <c r="K63" s="1">
        <f t="shared" si="13"/>
        <v>4.7468939361976812</v>
      </c>
      <c r="R63" s="38">
        <v>-1.3474999999999999</v>
      </c>
      <c r="S63" s="14">
        <f t="shared" si="14"/>
        <v>9.1416413830163802E-8</v>
      </c>
      <c r="T63" s="37">
        <v>4.6159999999999997</v>
      </c>
      <c r="U63" s="15">
        <f t="shared" si="15"/>
        <v>171833574.9716199</v>
      </c>
      <c r="V63" s="15">
        <f t="shared" si="16"/>
        <v>2.7562105425447809</v>
      </c>
      <c r="W63" s="16">
        <f t="shared" si="24"/>
        <v>1.6039999999999987E-8</v>
      </c>
      <c r="Y63" s="1">
        <f t="shared" si="17"/>
        <v>1.5055234113677801E-7</v>
      </c>
      <c r="Z63" s="1">
        <f t="shared" si="18"/>
        <v>104338524.93366985</v>
      </c>
      <c r="AA63" s="1">
        <f t="shared" si="19"/>
        <v>1.673589939936063</v>
      </c>
      <c r="AI63" s="21"/>
      <c r="AJ63" s="38">
        <v>-1.4954000000000001</v>
      </c>
      <c r="AK63" s="12">
        <f t="shared" si="25"/>
        <v>3.35396849389888E-7</v>
      </c>
      <c r="AL63" s="13">
        <v>-5.04</v>
      </c>
      <c r="AM63" s="26">
        <f t="shared" si="26"/>
        <v>95691870.890916303</v>
      </c>
      <c r="AN63" s="26">
        <f t="shared" si="27"/>
        <v>1.6851338463890373</v>
      </c>
      <c r="AO63" s="27">
        <f t="shared" si="28"/>
        <v>1.7610000000000013E-8</v>
      </c>
      <c r="AP63" s="27"/>
      <c r="AQ63" s="26">
        <f t="shared" si="29"/>
        <v>4.0532434763001699E-7</v>
      </c>
      <c r="AR63" s="26">
        <f t="shared" si="30"/>
        <v>79182886.981005117</v>
      </c>
      <c r="AS63" s="26">
        <f t="shared" si="31"/>
        <v>1.3944106397355012</v>
      </c>
      <c r="AT63" s="26">
        <f t="shared" si="32"/>
        <v>6.0843239603912699E-6</v>
      </c>
      <c r="AU63" s="26">
        <f t="shared" si="20"/>
        <v>902660.18782116496</v>
      </c>
      <c r="AV63" s="26">
        <f t="shared" si="21"/>
        <v>1.5895845907530726E-2</v>
      </c>
    </row>
    <row r="64" spans="1:48" x14ac:dyDescent="0.2">
      <c r="B64" s="38">
        <v>-1.0306999999999999</v>
      </c>
      <c r="C64" s="14">
        <f t="shared" si="22"/>
        <v>3.5672831720635001E-7</v>
      </c>
      <c r="D64" s="39">
        <v>12.0215</v>
      </c>
      <c r="E64" s="15">
        <f t="shared" si="9"/>
        <v>482422859.19076276</v>
      </c>
      <c r="F64" s="15">
        <f t="shared" si="23"/>
        <v>7.379622477041095</v>
      </c>
      <c r="G64" s="16">
        <f t="shared" si="10"/>
        <v>1.5296999999999995E-8</v>
      </c>
      <c r="I64" s="1">
        <f t="shared" si="11"/>
        <v>5.3633129884797303E-7</v>
      </c>
      <c r="J64" s="1">
        <f t="shared" si="12"/>
        <v>320872369.57949382</v>
      </c>
      <c r="K64" s="1">
        <f t="shared" si="13"/>
        <v>4.9083846374575151</v>
      </c>
      <c r="R64" s="38">
        <v>-1.1871</v>
      </c>
      <c r="S64" s="14">
        <f t="shared" si="14"/>
        <v>2.37167096183007E-7</v>
      </c>
      <c r="T64" s="37">
        <v>7.4546000000000001</v>
      </c>
      <c r="U64" s="15">
        <f t="shared" si="15"/>
        <v>199248861.35944667</v>
      </c>
      <c r="V64" s="15">
        <f t="shared" si="16"/>
        <v>2.8452737402128991</v>
      </c>
      <c r="W64" s="16">
        <f t="shared" si="24"/>
        <v>1.4280000000000003E-8</v>
      </c>
      <c r="Y64" s="1">
        <f t="shared" si="17"/>
        <v>3.5226218695323102E-7</v>
      </c>
      <c r="Z64" s="1">
        <f t="shared" si="18"/>
        <v>134148017.06396174</v>
      </c>
      <c r="AA64" s="1">
        <f t="shared" si="19"/>
        <v>1.9156336836733741</v>
      </c>
      <c r="AI64" s="21"/>
      <c r="AJ64" s="38">
        <v>-1.3192999999999999</v>
      </c>
      <c r="AK64" s="12">
        <f t="shared" si="25"/>
        <v>2.7818978062940798E-7</v>
      </c>
      <c r="AL64" s="13">
        <v>-0.49</v>
      </c>
      <c r="AM64" s="26">
        <f t="shared" si="26"/>
        <v>1025122053.8328424</v>
      </c>
      <c r="AN64" s="26">
        <f t="shared" si="27"/>
        <v>18.605965277066087</v>
      </c>
      <c r="AO64" s="27">
        <f t="shared" si="28"/>
        <v>1.8149999999999997E-8</v>
      </c>
      <c r="AP64" s="27"/>
      <c r="AQ64" s="26">
        <f t="shared" si="29"/>
        <v>3.82232836452029E-7</v>
      </c>
      <c r="AR64" s="26">
        <f t="shared" si="30"/>
        <v>746085767.82993639</v>
      </c>
      <c r="AS64" s="26">
        <f t="shared" si="31"/>
        <v>13.541456686113344</v>
      </c>
      <c r="AT64" s="26">
        <f t="shared" si="32"/>
        <v>5.3044155739530603E-6</v>
      </c>
      <c r="AU64" s="26">
        <f t="shared" si="20"/>
        <v>6050572.6901632985</v>
      </c>
      <c r="AV64" s="26">
        <f t="shared" si="21"/>
        <v>0.10981789432646386</v>
      </c>
    </row>
    <row r="65" spans="2:48" x14ac:dyDescent="0.2">
      <c r="B65" s="38">
        <v>-0.87773000000000001</v>
      </c>
      <c r="C65" s="14">
        <f t="shared" si="22"/>
        <v>6.4949379006190001E-7</v>
      </c>
      <c r="D65" s="39">
        <v>13.26825</v>
      </c>
      <c r="E65" s="15">
        <f t="shared" si="9"/>
        <v>238682462.30199441</v>
      </c>
      <c r="F65" s="15">
        <f t="shared" si="23"/>
        <v>4.3886544343467708</v>
      </c>
      <c r="G65" s="16">
        <f t="shared" si="10"/>
        <v>1.8386999999999998E-8</v>
      </c>
      <c r="I65" s="1">
        <f t="shared" si="11"/>
        <v>1.0036650550406201E-6</v>
      </c>
      <c r="J65" s="1">
        <f t="shared" si="12"/>
        <v>154456684.81060633</v>
      </c>
      <c r="K65" s="1">
        <f t="shared" si="13"/>
        <v>2.8399950636126183</v>
      </c>
      <c r="R65" s="38">
        <v>-1.0443</v>
      </c>
      <c r="S65" s="14">
        <f t="shared" si="14"/>
        <v>2.00270372680011E-7</v>
      </c>
      <c r="T65" s="37">
        <v>9.7852999999999994</v>
      </c>
      <c r="U65" s="15">
        <f t="shared" si="15"/>
        <v>582865037.98786032</v>
      </c>
      <c r="V65" s="15">
        <f t="shared" si="16"/>
        <v>9.9180314864014303</v>
      </c>
      <c r="W65" s="16">
        <f t="shared" si="24"/>
        <v>1.7015999999999998E-8</v>
      </c>
      <c r="Y65" s="1">
        <f t="shared" si="17"/>
        <v>2.91266111426563E-7</v>
      </c>
      <c r="Z65" s="1">
        <f t="shared" si="18"/>
        <v>400769584.24120986</v>
      </c>
      <c r="AA65" s="1">
        <f t="shared" si="19"/>
        <v>6.8194952454484268</v>
      </c>
      <c r="AI65" s="21"/>
      <c r="AJ65" s="38">
        <v>-1.1377999999999999</v>
      </c>
      <c r="AK65" s="12">
        <f t="shared" si="25"/>
        <v>2.9293779237454602E-7</v>
      </c>
      <c r="AL65" s="13">
        <v>5.14</v>
      </c>
      <c r="AM65" s="26">
        <f t="shared" si="26"/>
        <v>20789555228.37149</v>
      </c>
      <c r="AN65" s="26">
        <f t="shared" si="27"/>
        <v>472.5881694513406</v>
      </c>
      <c r="AO65" s="27">
        <f t="shared" si="28"/>
        <v>2.2731999999999995E-8</v>
      </c>
      <c r="AP65" s="27"/>
      <c r="AQ65" s="26">
        <f t="shared" si="29"/>
        <v>3.64690801891198E-7</v>
      </c>
      <c r="AR65" s="26">
        <f t="shared" si="30"/>
        <v>16699204864.68631</v>
      </c>
      <c r="AS65" s="26">
        <f t="shared" si="31"/>
        <v>379.60632498404908</v>
      </c>
      <c r="AT65" s="26">
        <f t="shared" si="32"/>
        <v>9.7291400090329601E-6</v>
      </c>
      <c r="AU65" s="26">
        <f t="shared" si="20"/>
        <v>29311786.962604545</v>
      </c>
      <c r="AV65" s="26">
        <f t="shared" si="21"/>
        <v>0.66631554123392633</v>
      </c>
    </row>
    <row r="66" spans="2:48" x14ac:dyDescent="0.2">
      <c r="B66" s="38">
        <v>-0.69386000000000003</v>
      </c>
      <c r="C66" s="14">
        <f t="shared" si="22"/>
        <v>8.8888018379100604E-7</v>
      </c>
      <c r="D66" s="39">
        <v>12.998999999999999</v>
      </c>
      <c r="E66" s="15">
        <f t="shared" si="9"/>
        <v>122792908.1353413</v>
      </c>
      <c r="F66" s="15">
        <f t="shared" si="23"/>
        <v>2.4933099996881052</v>
      </c>
      <c r="G66" s="16">
        <f t="shared" si="10"/>
        <v>2.0304999999999999E-8</v>
      </c>
      <c r="I66" s="1">
        <f t="shared" si="11"/>
        <v>1.2300108586699301E-6</v>
      </c>
      <c r="J66" s="1">
        <f t="shared" si="12"/>
        <v>88737576.568715394</v>
      </c>
      <c r="K66" s="1">
        <f t="shared" si="13"/>
        <v>1.801816492227766</v>
      </c>
      <c r="R66" s="38">
        <v>-0.87414000000000003</v>
      </c>
      <c r="S66" s="14">
        <f t="shared" si="14"/>
        <v>2.5347250700379502E-7</v>
      </c>
      <c r="T66" s="37">
        <v>12.865</v>
      </c>
      <c r="U66" s="15">
        <f t="shared" si="15"/>
        <v>1521242560.0173154</v>
      </c>
      <c r="V66" s="15">
        <f t="shared" si="16"/>
        <v>31.809181929962076</v>
      </c>
      <c r="W66" s="16">
        <f t="shared" si="24"/>
        <v>2.0910000000000007E-8</v>
      </c>
      <c r="Y66" s="1">
        <f t="shared" si="17"/>
        <v>3.8899301320254899E-7</v>
      </c>
      <c r="Z66" s="1">
        <f t="shared" si="18"/>
        <v>991259874.49980581</v>
      </c>
      <c r="AA66" s="1">
        <f t="shared" si="19"/>
        <v>20.727243975790945</v>
      </c>
      <c r="AI66" s="21"/>
      <c r="AJ66" s="38">
        <v>-0.91047999999999996</v>
      </c>
      <c r="AK66" s="12">
        <f t="shared" si="25"/>
        <v>2.6998887244207802E-7</v>
      </c>
      <c r="AL66" s="13">
        <v>13.03</v>
      </c>
      <c r="AM66" s="26">
        <f t="shared" si="26"/>
        <v>118247172449.98795</v>
      </c>
      <c r="AN66" s="26">
        <f t="shared" si="27"/>
        <v>1289.9584042569174</v>
      </c>
      <c r="AO66" s="27">
        <f t="shared" si="28"/>
        <v>1.090899999999999E-8</v>
      </c>
      <c r="AP66" s="27"/>
      <c r="AQ66" s="26">
        <f t="shared" si="29"/>
        <v>3.87601851929081E-7</v>
      </c>
      <c r="AR66" s="26">
        <f t="shared" si="30"/>
        <v>82366533081.161713</v>
      </c>
      <c r="AS66" s="26">
        <f t="shared" si="31"/>
        <v>898.5365093823923</v>
      </c>
      <c r="AT66" s="26">
        <f t="shared" si="32"/>
        <v>1.2943974978381E-5</v>
      </c>
      <c r="AU66" s="26">
        <f t="shared" si="20"/>
        <v>470492752.28200203</v>
      </c>
      <c r="AV66" s="26">
        <f t="shared" si="21"/>
        <v>5.1326054346443559</v>
      </c>
    </row>
    <row r="67" spans="2:48" x14ac:dyDescent="0.2">
      <c r="B67" s="38">
        <v>-0.49081000000000002</v>
      </c>
      <c r="C67" s="14">
        <f t="shared" si="22"/>
        <v>1.21483240399821E-6</v>
      </c>
      <c r="D67" s="39">
        <v>12.0947</v>
      </c>
      <c r="E67" s="15">
        <f t="shared" si="9"/>
        <v>51407913.892206632</v>
      </c>
      <c r="F67" s="15">
        <f t="shared" si="23"/>
        <v>1.1630526438972828</v>
      </c>
      <c r="G67" s="16">
        <f t="shared" si="10"/>
        <v>2.2623999999999998E-8</v>
      </c>
      <c r="I67" s="1">
        <f t="shared" si="11"/>
        <v>1.4925763781176601E-6</v>
      </c>
      <c r="J67" s="1">
        <f t="shared" si="12"/>
        <v>41841744.606036678</v>
      </c>
      <c r="K67" s="1">
        <f t="shared" si="13"/>
        <v>0.94662762996697369</v>
      </c>
      <c r="R67" s="38">
        <v>-0.66503999999999996</v>
      </c>
      <c r="S67" s="14">
        <f t="shared" si="14"/>
        <v>2.6676587686494502E-7</v>
      </c>
      <c r="T67" s="37">
        <v>16.167000000000002</v>
      </c>
      <c r="U67" s="15">
        <f t="shared" si="15"/>
        <v>5204779214.647315</v>
      </c>
      <c r="V67" s="15">
        <f t="shared" si="16"/>
        <v>107.79618231456053</v>
      </c>
      <c r="W67" s="16">
        <f t="shared" si="24"/>
        <v>2.0710999999999996E-8</v>
      </c>
      <c r="Y67" s="1">
        <f t="shared" si="17"/>
        <v>4.15288616947605E-7</v>
      </c>
      <c r="Z67" s="1">
        <f t="shared" si="18"/>
        <v>3343355522.9350438</v>
      </c>
      <c r="AA67" s="1">
        <f t="shared" si="19"/>
        <v>69.244236235507685</v>
      </c>
      <c r="AI67" s="21"/>
      <c r="AJ67" s="38">
        <v>-0.80139000000000005</v>
      </c>
      <c r="AK67" s="12">
        <f t="shared" si="25"/>
        <v>2.0126849841158599E-7</v>
      </c>
      <c r="AL67" s="13">
        <v>17.3</v>
      </c>
      <c r="AM67" s="26">
        <f t="shared" si="26"/>
        <v>930557638921.4624</v>
      </c>
      <c r="AN67" s="26">
        <f t="shared" si="27"/>
        <v>17479.594689500751</v>
      </c>
      <c r="AO67" s="27">
        <f t="shared" si="28"/>
        <v>1.8784000000000001E-8</v>
      </c>
      <c r="AP67" s="27"/>
      <c r="AQ67" s="26">
        <f t="shared" si="29"/>
        <v>3.2234313014486199E-7</v>
      </c>
      <c r="AR67" s="26">
        <f t="shared" si="30"/>
        <v>581032822343.64355</v>
      </c>
      <c r="AS67" s="26">
        <f t="shared" si="31"/>
        <v>10914.120534903001</v>
      </c>
      <c r="AT67" s="26">
        <f t="shared" si="32"/>
        <v>7.9794579563016995E-6</v>
      </c>
      <c r="AU67" s="26">
        <f t="shared" si="20"/>
        <v>4000951058.8402066</v>
      </c>
      <c r="AV67" s="26">
        <f t="shared" si="21"/>
        <v>75.153864689254448</v>
      </c>
    </row>
    <row r="68" spans="2:48" x14ac:dyDescent="0.2">
      <c r="B68" s="38">
        <v>-0.26457000000000003</v>
      </c>
      <c r="C68" s="14">
        <f t="shared" si="22"/>
        <v>3.2140927763231002E-6</v>
      </c>
      <c r="D68" s="39">
        <v>10.655750000000001</v>
      </c>
      <c r="E68" s="15">
        <f t="shared" si="9"/>
        <v>14638203.151476353</v>
      </c>
      <c r="F68" s="15">
        <f t="shared" si="23"/>
        <v>0.29561558500343471</v>
      </c>
      <c r="G68" s="16">
        <f t="shared" si="10"/>
        <v>2.0194800000000002E-8</v>
      </c>
      <c r="I68" s="1">
        <f t="shared" si="11"/>
        <v>3.5120902987965201E-6</v>
      </c>
      <c r="J68" s="1">
        <f t="shared" si="12"/>
        <v>13396165.532427287</v>
      </c>
      <c r="K68" s="1">
        <f t="shared" si="13"/>
        <v>0.27053288369426259</v>
      </c>
      <c r="R68" s="38">
        <v>-0.45793</v>
      </c>
      <c r="S68" s="14">
        <f t="shared" si="14"/>
        <v>4.0829072323521903E-7</v>
      </c>
      <c r="T68" s="37">
        <v>17.417999999999999</v>
      </c>
      <c r="U68" s="15">
        <f t="shared" si="15"/>
        <v>5525387437.8270578</v>
      </c>
      <c r="V68" s="15">
        <f t="shared" si="16"/>
        <v>111.87251945368442</v>
      </c>
      <c r="W68" s="16">
        <f t="shared" si="24"/>
        <v>2.0246999999999996E-8</v>
      </c>
      <c r="Y68" s="1">
        <f t="shared" si="17"/>
        <v>5.7971224036948304E-7</v>
      </c>
      <c r="Z68" s="1">
        <f t="shared" si="18"/>
        <v>3891524580.7253456</v>
      </c>
      <c r="AA68" s="1">
        <f t="shared" si="19"/>
        <v>78.791698185946061</v>
      </c>
      <c r="AI68" s="21"/>
      <c r="AJ68" s="38">
        <v>-0.61355000000000004</v>
      </c>
      <c r="AK68" s="12">
        <f t="shared" si="25"/>
        <v>4.2571869039518798E-7</v>
      </c>
      <c r="AL68" s="13">
        <v>21.86</v>
      </c>
      <c r="AM68" s="26">
        <f t="shared" si="26"/>
        <v>553113518401.52625</v>
      </c>
      <c r="AN68" s="26">
        <f t="shared" si="27"/>
        <v>11017.468173040003</v>
      </c>
      <c r="AO68" s="27">
        <f t="shared" si="28"/>
        <v>1.9919000000000001E-8</v>
      </c>
      <c r="AP68" s="27"/>
      <c r="AQ68" s="26">
        <f t="shared" si="29"/>
        <v>5.9910791621188702E-7</v>
      </c>
      <c r="AR68" s="26">
        <f t="shared" si="30"/>
        <v>393035639025.83002</v>
      </c>
      <c r="AS68" s="26">
        <f t="shared" si="31"/>
        <v>7828.8768937555087</v>
      </c>
      <c r="AT68" s="26">
        <f t="shared" si="32"/>
        <v>1.14241168390718E-5</v>
      </c>
      <c r="AU68" s="26">
        <f t="shared" si="20"/>
        <v>16394434800.473459</v>
      </c>
      <c r="AV68" s="26">
        <f t="shared" si="21"/>
        <v>326.56074679063084</v>
      </c>
    </row>
    <row r="69" spans="2:48" x14ac:dyDescent="0.2">
      <c r="B69" s="38">
        <v>-6.2621999999999997E-2</v>
      </c>
      <c r="C69" s="14">
        <f t="shared" si="22"/>
        <v>2.67676686694007E-6</v>
      </c>
      <c r="D69" s="39">
        <v>9.9258000000000006</v>
      </c>
      <c r="E69" s="15">
        <f t="shared" si="9"/>
        <v>18035865.821870994</v>
      </c>
      <c r="F69" s="15">
        <f t="shared" si="23"/>
        <v>0.34263095019124756</v>
      </c>
      <c r="G69" s="16">
        <f t="shared" si="10"/>
        <v>1.8997199999999996E-8</v>
      </c>
      <c r="I69" s="1">
        <f t="shared" si="11"/>
        <v>3.3976556170167199E-6</v>
      </c>
      <c r="J69" s="1">
        <f t="shared" si="12"/>
        <v>14209152.866102125</v>
      </c>
      <c r="K69" s="1">
        <f t="shared" si="13"/>
        <v>0.26993411882791524</v>
      </c>
      <c r="R69" s="38">
        <v>-0.25546000000000002</v>
      </c>
      <c r="S69" s="14">
        <f t="shared" si="14"/>
        <v>6.6145093140804502E-7</v>
      </c>
      <c r="T69" s="37">
        <v>18.079999999999998</v>
      </c>
      <c r="U69" s="15">
        <f t="shared" si="15"/>
        <v>4409454606.0902605</v>
      </c>
      <c r="V69" s="15">
        <f t="shared" si="16"/>
        <v>86.481751298327069</v>
      </c>
      <c r="W69" s="16">
        <f t="shared" si="24"/>
        <v>1.9612800000000001E-8</v>
      </c>
      <c r="Y69" s="1">
        <f t="shared" si="17"/>
        <v>7.93458176238937E-7</v>
      </c>
      <c r="Z69" s="1">
        <f t="shared" si="18"/>
        <v>3675855821.443573</v>
      </c>
      <c r="AA69" s="1">
        <f t="shared" si="19"/>
        <v>72.093825054808505</v>
      </c>
      <c r="AI69" s="21"/>
      <c r="AJ69" s="38">
        <v>-0.41436000000000001</v>
      </c>
      <c r="AK69" s="12">
        <f t="shared" si="25"/>
        <v>7.3874953394695003E-7</v>
      </c>
      <c r="AL69" s="13">
        <v>22.45</v>
      </c>
      <c r="AM69" s="26">
        <f t="shared" si="26"/>
        <v>316278501220.32629</v>
      </c>
      <c r="AN69" s="26">
        <f t="shared" si="27"/>
        <v>6297.1049592966956</v>
      </c>
      <c r="AO69" s="27">
        <f t="shared" si="28"/>
        <v>1.9909999999999998E-8</v>
      </c>
      <c r="AP69" s="27"/>
      <c r="AQ69" s="26">
        <f t="shared" si="29"/>
        <v>9.44612593388637E-7</v>
      </c>
      <c r="AR69" s="26">
        <f t="shared" si="30"/>
        <v>247350709708.17163</v>
      </c>
      <c r="AS69" s="26">
        <f t="shared" si="31"/>
        <v>4924.7526302896968</v>
      </c>
      <c r="AT69" s="26">
        <f t="shared" si="32"/>
        <v>4.5166876552340404E-6</v>
      </c>
      <c r="AU69" s="26">
        <f t="shared" si="20"/>
        <v>52133505937.89756</v>
      </c>
      <c r="AV69" s="26">
        <f t="shared" si="21"/>
        <v>1037.9781032235403</v>
      </c>
    </row>
    <row r="70" spans="2:48" x14ac:dyDescent="0.2">
      <c r="B70" s="38">
        <v>0.12734999999999999</v>
      </c>
      <c r="C70" s="14">
        <f t="shared" si="22"/>
        <v>2.99426811124611E-6</v>
      </c>
      <c r="D70" s="39">
        <v>9.9922749999999994</v>
      </c>
      <c r="E70" s="15">
        <f t="shared" si="9"/>
        <v>22789887.849482663</v>
      </c>
      <c r="F70" s="15">
        <f t="shared" si="23"/>
        <v>0.43569707590640955</v>
      </c>
      <c r="G70" s="16">
        <f t="shared" si="10"/>
        <v>1.9118E-8</v>
      </c>
      <c r="I70" s="1">
        <f t="shared" si="11"/>
        <v>3.2566606677112602E-6</v>
      </c>
      <c r="J70" s="1">
        <f t="shared" si="12"/>
        <v>20953682.74722299</v>
      </c>
      <c r="K70" s="1">
        <f t="shared" si="13"/>
        <v>0.40059250676140912</v>
      </c>
      <c r="R70" s="38">
        <v>-5.9332000000000003E-2</v>
      </c>
      <c r="S70" s="14">
        <f t="shared" si="14"/>
        <v>8.5254705440911596E-7</v>
      </c>
      <c r="T70" s="37">
        <v>18.323</v>
      </c>
      <c r="U70" s="15">
        <f t="shared" si="15"/>
        <v>3759333430.6923113</v>
      </c>
      <c r="V70" s="15">
        <f t="shared" si="16"/>
        <v>58.971535727241083</v>
      </c>
      <c r="W70" s="16">
        <f t="shared" si="24"/>
        <v>1.56867E-8</v>
      </c>
      <c r="Y70" s="1">
        <f t="shared" si="17"/>
        <v>1.0668735965273501E-6</v>
      </c>
      <c r="Z70" s="1">
        <f t="shared" si="18"/>
        <v>3004112814.5927305</v>
      </c>
      <c r="AA70" s="1">
        <f t="shared" si="19"/>
        <v>47.124616488671791</v>
      </c>
      <c r="AI70" s="21"/>
      <c r="AJ70" s="38">
        <v>-0.21526000000000001</v>
      </c>
      <c r="AK70" s="12">
        <f t="shared" si="25"/>
        <v>6.8587279664800399E-7</v>
      </c>
      <c r="AL70" s="13">
        <v>22.43</v>
      </c>
      <c r="AM70" s="26">
        <f t="shared" si="26"/>
        <v>363889187362.45404</v>
      </c>
      <c r="AN70" s="26">
        <f t="shared" si="27"/>
        <v>4874.2228868825996</v>
      </c>
      <c r="AO70" s="27">
        <f t="shared" si="28"/>
        <v>1.3394800000000001E-8</v>
      </c>
      <c r="AP70" s="27"/>
      <c r="AQ70" s="26">
        <f t="shared" si="29"/>
        <v>9.1986511194830203E-7</v>
      </c>
      <c r="AR70" s="26">
        <f t="shared" si="30"/>
        <v>271324231525.24429</v>
      </c>
      <c r="AS70" s="26">
        <f t="shared" si="31"/>
        <v>3634.3338164343427</v>
      </c>
      <c r="AT70" s="26">
        <f t="shared" si="32"/>
        <v>2.4563708585072599E-6</v>
      </c>
      <c r="AU70" s="26">
        <f t="shared" si="20"/>
        <v>95120243983.005768</v>
      </c>
      <c r="AV70" s="26">
        <f t="shared" si="21"/>
        <v>1274.1166441035657</v>
      </c>
    </row>
    <row r="71" spans="2:48" x14ac:dyDescent="0.2">
      <c r="B71" s="38">
        <v>0.31852999999999998</v>
      </c>
      <c r="C71" s="14">
        <f t="shared" si="22"/>
        <v>1.8334493632892401E-6</v>
      </c>
      <c r="D71" s="39">
        <v>10.884150000000002</v>
      </c>
      <c r="E71" s="15">
        <f t="shared" si="9"/>
        <v>74453008.779369101</v>
      </c>
      <c r="F71" s="15">
        <f t="shared" si="23"/>
        <v>2.8862453383410225</v>
      </c>
      <c r="G71" s="16">
        <f t="shared" si="10"/>
        <v>3.8765999999999998E-8</v>
      </c>
      <c r="I71" s="1">
        <f t="shared" si="11"/>
        <v>2.2805880236238098E-6</v>
      </c>
      <c r="J71" s="1">
        <f t="shared" si="12"/>
        <v>59855537.312082082</v>
      </c>
      <c r="K71" s="1">
        <f t="shared" si="13"/>
        <v>2.3203597594401737</v>
      </c>
      <c r="R71" s="38">
        <v>9.7534999999999997E-2</v>
      </c>
      <c r="S71" s="14">
        <f t="shared" si="14"/>
        <v>6.9644135712849999E-7</v>
      </c>
      <c r="T71" s="37">
        <v>18.029</v>
      </c>
      <c r="U71" s="15">
        <f t="shared" si="15"/>
        <v>4105860635.3699346</v>
      </c>
      <c r="V71" s="15">
        <f t="shared" si="16"/>
        <v>163.52205859456072</v>
      </c>
      <c r="W71" s="16">
        <f t="shared" si="24"/>
        <v>3.9826500000000003E-8</v>
      </c>
      <c r="Y71" s="1">
        <f t="shared" si="17"/>
        <v>9.2464995109050996E-7</v>
      </c>
      <c r="Z71" s="1">
        <f t="shared" si="18"/>
        <v>3092512090.3376541</v>
      </c>
      <c r="AA71" s="1">
        <f t="shared" si="19"/>
        <v>123.16393276583258</v>
      </c>
      <c r="AI71" s="21"/>
      <c r="AJ71" s="38">
        <v>-8.1311999999999995E-2</v>
      </c>
      <c r="AK71" s="12">
        <f t="shared" si="25"/>
        <v>9.1811525003847901E-7</v>
      </c>
      <c r="AL71" s="13">
        <v>22.6</v>
      </c>
      <c r="AM71" s="26">
        <f t="shared" si="26"/>
        <v>254489395927.3233</v>
      </c>
      <c r="AN71" s="26">
        <f t="shared" si="27"/>
        <v>5281.4693315589257</v>
      </c>
      <c r="AO71" s="27">
        <f t="shared" si="28"/>
        <v>2.0753199999999998E-8</v>
      </c>
      <c r="AP71" s="27"/>
      <c r="AQ71" s="26">
        <f t="shared" si="29"/>
        <v>1.1697637477414E-6</v>
      </c>
      <c r="AR71" s="26">
        <f t="shared" si="30"/>
        <v>199741696410.99966</v>
      </c>
      <c r="AS71" s="26">
        <f t="shared" si="31"/>
        <v>4145.2793739567578</v>
      </c>
      <c r="AT71" s="26">
        <f t="shared" si="32"/>
        <v>1.24762042436517E-6</v>
      </c>
      <c r="AU71" s="26">
        <f t="shared" si="20"/>
        <v>200046175689.41385</v>
      </c>
      <c r="AV71" s="26">
        <f t="shared" si="21"/>
        <v>4151.5982933175428</v>
      </c>
    </row>
    <row r="72" spans="2:48" x14ac:dyDescent="0.2">
      <c r="B72" s="38">
        <v>0.70618999999999998</v>
      </c>
      <c r="C72" s="14">
        <f t="shared" si="22"/>
        <v>1.55665350679251E-6</v>
      </c>
      <c r="D72" s="39">
        <v>12.671150000000001</v>
      </c>
      <c r="E72" s="15">
        <f t="shared" si="9"/>
        <v>63397517.37518952</v>
      </c>
      <c r="F72" s="15">
        <f t="shared" si="23"/>
        <v>1.2424645455189645</v>
      </c>
      <c r="G72" s="16">
        <f t="shared" si="10"/>
        <v>1.9598000000000004E-8</v>
      </c>
      <c r="I72" s="1">
        <f t="shared" si="11"/>
        <v>1.9316697587714601E-6</v>
      </c>
      <c r="J72" s="1">
        <f t="shared" si="12"/>
        <v>51089461.485794187</v>
      </c>
      <c r="K72" s="1">
        <f t="shared" si="13"/>
        <v>1.0012512661985946</v>
      </c>
      <c r="R72" s="38">
        <v>0.49580000000000002</v>
      </c>
      <c r="S72" s="14">
        <f t="shared" si="14"/>
        <v>5.91805366471831E-7</v>
      </c>
      <c r="T72" s="37">
        <v>16.911999999999999</v>
      </c>
      <c r="U72" s="15">
        <f t="shared" si="15"/>
        <v>3132491185.7415648</v>
      </c>
      <c r="V72" s="15">
        <f t="shared" si="16"/>
        <v>68.874083700899789</v>
      </c>
      <c r="W72" s="16">
        <f t="shared" si="24"/>
        <v>2.1987E-8</v>
      </c>
      <c r="Y72" s="1">
        <f t="shared" si="17"/>
        <v>7.0832941696309101E-7</v>
      </c>
      <c r="Z72" s="1">
        <f t="shared" si="18"/>
        <v>2617179309.1633868</v>
      </c>
      <c r="AA72" s="1">
        <f t="shared" si="19"/>
        <v>57.543921470575384</v>
      </c>
      <c r="AI72" s="21"/>
      <c r="AJ72" s="38">
        <v>0.12622</v>
      </c>
      <c r="AK72" s="12">
        <f t="shared" si="25"/>
        <v>1.1482556527560101E-6</v>
      </c>
      <c r="AL72" s="13">
        <v>22.43</v>
      </c>
      <c r="AM72" s="26">
        <f t="shared" si="26"/>
        <v>176271247414.13229</v>
      </c>
      <c r="AN72" s="26">
        <f t="shared" si="27"/>
        <v>3842.3606511332559</v>
      </c>
      <c r="AO72" s="27">
        <f t="shared" si="28"/>
        <v>2.1798000000000001E-8</v>
      </c>
      <c r="AP72" s="27"/>
      <c r="AQ72" s="26">
        <f t="shared" si="29"/>
        <v>1.39463635409455E-6</v>
      </c>
      <c r="AR72" s="26">
        <f t="shared" si="30"/>
        <v>145130632560.51373</v>
      </c>
      <c r="AS72" s="26">
        <f t="shared" si="31"/>
        <v>3163.5575285540785</v>
      </c>
      <c r="AT72" s="26">
        <f t="shared" si="32"/>
        <v>1.1450646468626299E-6</v>
      </c>
      <c r="AU72" s="26">
        <f t="shared" si="20"/>
        <v>204050134648.8486</v>
      </c>
      <c r="AV72" s="26">
        <f t="shared" si="21"/>
        <v>4447.8848350756025</v>
      </c>
    </row>
    <row r="73" spans="2:48" x14ac:dyDescent="0.2">
      <c r="B73" s="38">
        <v>0.90217000000000003</v>
      </c>
      <c r="C73" s="14">
        <f t="shared" si="22"/>
        <v>1.98886764247649E-7</v>
      </c>
      <c r="D73" s="39">
        <v>11.835050000000001</v>
      </c>
      <c r="E73" s="15">
        <f t="shared" si="9"/>
        <v>179836950.53359669</v>
      </c>
      <c r="F73" s="15">
        <f t="shared" si="23"/>
        <v>3.3437084212711641</v>
      </c>
      <c r="G73" s="16">
        <f t="shared" si="10"/>
        <v>1.8593000000000003E-8</v>
      </c>
      <c r="I73" s="1">
        <f t="shared" si="11"/>
        <v>3.3134812887280001E-7</v>
      </c>
      <c r="J73" s="1">
        <f t="shared" si="12"/>
        <v>107944442.92009898</v>
      </c>
      <c r="K73" s="1">
        <f t="shared" si="13"/>
        <v>2.0070110272134007</v>
      </c>
      <c r="R73" s="38">
        <v>0.71567000000000003</v>
      </c>
      <c r="S73" s="14">
        <f t="shared" si="14"/>
        <v>4.03528160094014E-7</v>
      </c>
      <c r="T73" s="37">
        <v>15.590999999999999</v>
      </c>
      <c r="U73" s="15">
        <f t="shared" si="15"/>
        <v>2751692526.2422891</v>
      </c>
      <c r="V73" s="15">
        <f t="shared" si="16"/>
        <v>47.122734511899196</v>
      </c>
      <c r="W73" s="16">
        <f t="shared" si="24"/>
        <v>1.7124999999999999E-8</v>
      </c>
      <c r="Y73" s="1">
        <f t="shared" si="17"/>
        <v>5.42089281089259E-7</v>
      </c>
      <c r="Z73" s="1">
        <f t="shared" si="18"/>
        <v>2048344176.8629384</v>
      </c>
      <c r="AA73" s="1">
        <f t="shared" si="19"/>
        <v>35.07789402877782</v>
      </c>
      <c r="AI73" s="21"/>
      <c r="AJ73" s="38">
        <v>0.34420000000000001</v>
      </c>
      <c r="AK73" s="12">
        <f t="shared" si="25"/>
        <v>5.5702206418677099E-7</v>
      </c>
      <c r="AL73" s="13">
        <v>22.06</v>
      </c>
      <c r="AM73" s="26">
        <f t="shared" si="26"/>
        <v>262303167544.17294</v>
      </c>
      <c r="AN73" s="26">
        <f t="shared" si="27"/>
        <v>6474.9536908279078</v>
      </c>
      <c r="AO73" s="27">
        <f t="shared" si="28"/>
        <v>2.4684999999999996E-8</v>
      </c>
      <c r="AP73" s="27"/>
      <c r="AQ73" s="26">
        <f t="shared" si="29"/>
        <v>7.9414710225824205E-7</v>
      </c>
      <c r="AR73" s="26">
        <f t="shared" si="30"/>
        <v>183981848467.00076</v>
      </c>
      <c r="AS73" s="26">
        <f t="shared" si="31"/>
        <v>4541.5919294079131</v>
      </c>
      <c r="AT73" s="26">
        <f t="shared" si="32"/>
        <v>2.4845069921599E-6</v>
      </c>
      <c r="AU73" s="26">
        <f t="shared" si="20"/>
        <v>81466647870.316849</v>
      </c>
      <c r="AV73" s="26">
        <f t="shared" si="21"/>
        <v>2011.004202678771</v>
      </c>
    </row>
    <row r="74" spans="2:48" x14ac:dyDescent="0.2">
      <c r="B74" s="38">
        <v>1.0881000000000001</v>
      </c>
      <c r="C74" s="14">
        <f t="shared" si="22"/>
        <v>6.5360680771595195E-7</v>
      </c>
      <c r="D74" s="39">
        <v>9.2192249999999998</v>
      </c>
      <c r="E74" s="15">
        <f t="shared" si="9"/>
        <v>9387849.5451524146</v>
      </c>
      <c r="F74" s="15">
        <f t="shared" si="23"/>
        <v>0.21516951157489317</v>
      </c>
      <c r="G74" s="16">
        <f t="shared" si="10"/>
        <v>2.2919999999999983E-8</v>
      </c>
      <c r="I74" s="1">
        <f t="shared" si="11"/>
        <v>8.6205211511180201E-7</v>
      </c>
      <c r="J74" s="1">
        <f t="shared" si="12"/>
        <v>7117855.4810795067</v>
      </c>
      <c r="K74" s="1">
        <f t="shared" si="13"/>
        <v>0.16314124762634216</v>
      </c>
      <c r="R74" s="38">
        <v>0.88692000000000004</v>
      </c>
      <c r="S74" s="14">
        <f t="shared" si="14"/>
        <v>2.07952157368182E-7</v>
      </c>
      <c r="T74" s="37">
        <v>13.282</v>
      </c>
      <c r="U74" s="15">
        <f t="shared" si="15"/>
        <v>2179879317.0437317</v>
      </c>
      <c r="V74" s="15">
        <f t="shared" si="16"/>
        <v>56.563508518650757</v>
      </c>
      <c r="W74" s="16">
        <f t="shared" si="24"/>
        <v>2.5948000000000002E-8</v>
      </c>
      <c r="Y74" s="1">
        <f t="shared" si="17"/>
        <v>3.2460213042345001E-7</v>
      </c>
      <c r="Z74" s="1">
        <f t="shared" si="18"/>
        <v>1396511496.0587919</v>
      </c>
      <c r="AA74" s="1">
        <f t="shared" si="19"/>
        <v>36.236680299733536</v>
      </c>
      <c r="AI74" s="21"/>
      <c r="AJ74" s="38">
        <v>0.59104999999999996</v>
      </c>
      <c r="AK74" s="12">
        <f t="shared" si="25"/>
        <v>3.3212996127544099E-7</v>
      </c>
      <c r="AL74" s="13">
        <v>21.22</v>
      </c>
      <c r="AM74" s="26">
        <f t="shared" si="26"/>
        <v>73832100863.280197</v>
      </c>
      <c r="AN74" s="26">
        <f t="shared" si="27"/>
        <v>1552.098424347877</v>
      </c>
      <c r="AO74" s="27">
        <f t="shared" si="28"/>
        <v>2.1022000000000008E-8</v>
      </c>
      <c r="AP74" s="27"/>
      <c r="AQ74" s="26">
        <f t="shared" si="29"/>
        <v>4.8737167480780996E-7</v>
      </c>
      <c r="AR74" s="26">
        <f t="shared" si="30"/>
        <v>50314480853.397255</v>
      </c>
      <c r="AS74" s="26">
        <f t="shared" si="31"/>
        <v>1057.7110165001175</v>
      </c>
      <c r="AT74" s="26">
        <f t="shared" si="32"/>
        <v>9.9084233556047493E-6</v>
      </c>
      <c r="AU74" s="26">
        <f t="shared" si="20"/>
        <v>14745903216.33124</v>
      </c>
      <c r="AV74" s="26">
        <f t="shared" si="21"/>
        <v>309.98837741371545</v>
      </c>
    </row>
    <row r="75" spans="2:48" x14ac:dyDescent="0.2">
      <c r="B75" s="38">
        <v>1.3172999999999999</v>
      </c>
      <c r="C75" s="14">
        <f t="shared" si="22"/>
        <v>4.2892305927285E-7</v>
      </c>
      <c r="D75" s="39">
        <v>4.6757249999999999</v>
      </c>
      <c r="E75" s="15">
        <f t="shared" si="9"/>
        <v>2846804.1362146717</v>
      </c>
      <c r="F75" s="15">
        <f t="shared" si="23"/>
        <v>5.8274080668314361E-2</v>
      </c>
      <c r="G75" s="16">
        <f t="shared" si="10"/>
        <v>2.0470000000000011E-8</v>
      </c>
      <c r="I75" s="1">
        <f t="shared" si="11"/>
        <v>5.88840607959007E-7</v>
      </c>
      <c r="J75" s="1">
        <f t="shared" si="12"/>
        <v>2073668.0228086545</v>
      </c>
      <c r="K75" s="1">
        <f t="shared" si="13"/>
        <v>4.2447984426893182E-2</v>
      </c>
      <c r="R75" s="38">
        <v>1.1464000000000001</v>
      </c>
      <c r="S75" s="14">
        <f t="shared" si="14"/>
        <v>5.2213724028737799E-7</v>
      </c>
      <c r="T75" s="37">
        <v>8.6341999999999999</v>
      </c>
      <c r="U75" s="15">
        <f t="shared" si="15"/>
        <v>143032267.59504169</v>
      </c>
      <c r="V75" s="15">
        <f t="shared" si="16"/>
        <v>2.4029420955966994</v>
      </c>
      <c r="W75" s="16">
        <f t="shared" si="24"/>
        <v>1.6799999999999992E-8</v>
      </c>
      <c r="Y75" s="1">
        <f t="shared" si="17"/>
        <v>6.1248980244685797E-7</v>
      </c>
      <c r="Z75" s="1">
        <f t="shared" si="18"/>
        <v>121932599.00127165</v>
      </c>
      <c r="AA75" s="1">
        <f t="shared" si="19"/>
        <v>2.0484676632213628</v>
      </c>
      <c r="AI75" s="21"/>
      <c r="AJ75" s="38">
        <v>0.80127000000000004</v>
      </c>
      <c r="AK75" s="12">
        <f t="shared" si="25"/>
        <v>3.54840123452532E-7</v>
      </c>
      <c r="AL75" s="13">
        <v>16.62</v>
      </c>
      <c r="AM75" s="26">
        <f t="shared" si="26"/>
        <v>4295614509.1896</v>
      </c>
      <c r="AN75" s="26">
        <f t="shared" si="27"/>
        <v>87.987071991730559</v>
      </c>
      <c r="AO75" s="27">
        <f t="shared" si="28"/>
        <v>2.0482999999999996E-8</v>
      </c>
      <c r="AP75" s="27"/>
      <c r="AQ75" s="26">
        <f t="shared" si="29"/>
        <v>4.77021987418835E-7</v>
      </c>
      <c r="AR75" s="26">
        <f t="shared" si="30"/>
        <v>3195358752.733964</v>
      </c>
      <c r="AS75" s="26">
        <f t="shared" si="31"/>
        <v>65.450533332249776</v>
      </c>
      <c r="AT75" s="26">
        <f t="shared" si="32"/>
        <v>9.9110679861405401E-6</v>
      </c>
      <c r="AU75" s="26">
        <f t="shared" si="20"/>
        <v>2474188738.7813931</v>
      </c>
      <c r="AV75" s="26">
        <f t="shared" si="21"/>
        <v>50.678807936459265</v>
      </c>
    </row>
    <row r="76" spans="2:48" x14ac:dyDescent="0.2">
      <c r="B76" s="38">
        <v>1.522</v>
      </c>
      <c r="C76" s="14">
        <f t="shared" si="22"/>
        <v>4.3233073494032502E-7</v>
      </c>
      <c r="D76" s="39">
        <v>0.51474449999999994</v>
      </c>
      <c r="E76" s="15">
        <f t="shared" si="9"/>
        <v>1351982.8349409064</v>
      </c>
      <c r="F76" s="15">
        <f t="shared" si="23"/>
        <v>2.3254104760983579E-2</v>
      </c>
      <c r="G76" s="16">
        <f t="shared" si="10"/>
        <v>1.7199999999999992E-8</v>
      </c>
      <c r="I76" s="1">
        <f t="shared" si="11"/>
        <v>6.01344652344628E-7</v>
      </c>
      <c r="J76" s="1">
        <f t="shared" si="12"/>
        <v>971994.56314734078</v>
      </c>
      <c r="K76" s="1">
        <f t="shared" si="13"/>
        <v>1.6718306486134253E-2</v>
      </c>
      <c r="R76" s="38">
        <v>1.3144</v>
      </c>
      <c r="S76" s="14">
        <f t="shared" si="14"/>
        <v>3.5114971454390901E-7</v>
      </c>
      <c r="T76" s="37">
        <v>5.0743</v>
      </c>
      <c r="U76" s="15">
        <f t="shared" si="15"/>
        <v>53439906.934676424</v>
      </c>
      <c r="V76" s="15">
        <f t="shared" si="16"/>
        <v>0.96779671458699024</v>
      </c>
      <c r="W76" s="16">
        <f t="shared" si="24"/>
        <v>1.8110000000000005E-8</v>
      </c>
      <c r="Y76" s="1">
        <f t="shared" si="17"/>
        <v>4.89527128054902E-7</v>
      </c>
      <c r="Z76" s="1">
        <f t="shared" si="18"/>
        <v>38333744.934479073</v>
      </c>
      <c r="AA76" s="1">
        <f t="shared" si="19"/>
        <v>0.69422412076341622</v>
      </c>
      <c r="AI76" s="21"/>
      <c r="AJ76" s="38">
        <v>1.0061</v>
      </c>
      <c r="AK76" s="12">
        <f t="shared" si="25"/>
        <v>3.1975943400343499E-7</v>
      </c>
      <c r="AL76" s="13">
        <v>9.4600000000000009</v>
      </c>
      <c r="AM76" s="26">
        <f t="shared" si="26"/>
        <v>416892162.37118244</v>
      </c>
      <c r="AN76" s="26">
        <f t="shared" si="27"/>
        <v>10.630750140465157</v>
      </c>
      <c r="AO76" s="27">
        <f t="shared" si="28"/>
        <v>2.550000000000001E-8</v>
      </c>
      <c r="AP76" s="27"/>
      <c r="AQ76" s="26">
        <f t="shared" si="29"/>
        <v>3.6673190272826502E-7</v>
      </c>
      <c r="AR76" s="26">
        <f t="shared" si="30"/>
        <v>363494969.72738618</v>
      </c>
      <c r="AS76" s="26">
        <f t="shared" si="31"/>
        <v>9.2691217280483507</v>
      </c>
      <c r="AT76" s="26">
        <f t="shared" si="32"/>
        <v>7.0498622807624698E-6</v>
      </c>
      <c r="AU76" s="26">
        <f t="shared" si="20"/>
        <v>216210802.71379018</v>
      </c>
      <c r="AV76" s="26">
        <f t="shared" si="21"/>
        <v>5.5133754692016517</v>
      </c>
    </row>
    <row r="77" spans="2:48" x14ac:dyDescent="0.2">
      <c r="B77" s="38">
        <v>1.694</v>
      </c>
      <c r="C77" s="14">
        <f t="shared" si="22"/>
        <v>6.6916702874571502E-7</v>
      </c>
      <c r="D77" s="39">
        <v>-1.3840112500000001</v>
      </c>
      <c r="E77" s="15">
        <f t="shared" si="9"/>
        <v>611258.1230020948</v>
      </c>
      <c r="F77" s="15">
        <f t="shared" si="23"/>
        <v>1.1675030149340014E-2</v>
      </c>
      <c r="G77" s="16">
        <f t="shared" si="10"/>
        <v>1.9100000000000006E-8</v>
      </c>
      <c r="I77" s="1">
        <f t="shared" si="11"/>
        <v>8.7068007765753095E-7</v>
      </c>
      <c r="J77" s="1">
        <f t="shared" si="12"/>
        <v>469786.54096055008</v>
      </c>
      <c r="K77" s="1">
        <f t="shared" si="13"/>
        <v>8.9729229323465085E-3</v>
      </c>
      <c r="R77" s="38">
        <v>1.4955000000000001</v>
      </c>
      <c r="S77" s="14">
        <f t="shared" si="14"/>
        <v>3.4498059390989099E-7</v>
      </c>
      <c r="T77" s="37">
        <v>1.6753</v>
      </c>
      <c r="U77" s="15">
        <f>EXP((T77-T$59)/(0.008314*310))/S77</f>
        <v>14548395.846176252</v>
      </c>
      <c r="V77" s="15">
        <f t="shared" si="16"/>
        <v>0.17967268870027661</v>
      </c>
      <c r="W77" s="16">
        <f t="shared" si="24"/>
        <v>1.2349999999999993E-8</v>
      </c>
      <c r="Y77" s="1">
        <f t="shared" si="17"/>
        <v>4.6369023412282999E-7</v>
      </c>
      <c r="Z77" s="1">
        <f t="shared" si="18"/>
        <v>10823851.507126158</v>
      </c>
      <c r="AA77" s="1">
        <f t="shared" si="19"/>
        <v>0.13367456611300799</v>
      </c>
      <c r="AI77" s="21"/>
      <c r="AJ77" s="38">
        <v>1.2611000000000001</v>
      </c>
      <c r="AK77" s="12">
        <f t="shared" si="25"/>
        <v>2.13312980093459E-7</v>
      </c>
      <c r="AL77" s="13">
        <v>3.18</v>
      </c>
      <c r="AM77" s="26">
        <f t="shared" si="26"/>
        <v>232349775.17734581</v>
      </c>
      <c r="AN77" s="26">
        <f t="shared" si="27"/>
        <v>3.7849778376389591</v>
      </c>
      <c r="AO77" s="27">
        <f t="shared" si="28"/>
        <v>1.6289999999999982E-8</v>
      </c>
      <c r="AP77" s="27"/>
      <c r="AQ77" s="26">
        <f t="shared" si="29"/>
        <v>3.2988182857502002E-7</v>
      </c>
      <c r="AR77" s="26">
        <f t="shared" si="30"/>
        <v>150245386.90482441</v>
      </c>
      <c r="AS77" s="26">
        <f t="shared" si="31"/>
        <v>2.4474973526795871</v>
      </c>
      <c r="AT77" s="26">
        <f t="shared" si="32"/>
        <v>3.0233967004279198E-6</v>
      </c>
      <c r="AU77" s="26">
        <f t="shared" si="20"/>
        <v>44091204.393194556</v>
      </c>
      <c r="AV77" s="26">
        <f t="shared" si="21"/>
        <v>0.7182457195651385</v>
      </c>
    </row>
    <row r="78" spans="2:48" x14ac:dyDescent="0.2">
      <c r="B78" s="38">
        <v>1.885</v>
      </c>
      <c r="C78" s="14">
        <f t="shared" si="22"/>
        <v>8.8122399114596201E-7</v>
      </c>
      <c r="D78" s="39">
        <v>-2.3040324999999999</v>
      </c>
      <c r="E78" s="15">
        <f t="shared" si="9"/>
        <v>421682.92043274693</v>
      </c>
      <c r="F78" s="15">
        <f t="shared" si="23"/>
        <v>7.1686096473567032E-3</v>
      </c>
      <c r="G78" s="15">
        <f t="shared" si="10"/>
        <v>1.7000000000000013E-8</v>
      </c>
      <c r="I78" s="1">
        <f t="shared" si="11"/>
        <v>9.921134152687471E-7</v>
      </c>
      <c r="J78" s="1">
        <f t="shared" si="12"/>
        <v>374551.03461248014</v>
      </c>
      <c r="K78" s="1">
        <f t="shared" si="13"/>
        <v>6.3673675884121676E-3</v>
      </c>
      <c r="R78" s="38">
        <v>1.619</v>
      </c>
      <c r="S78" s="14">
        <f t="shared" si="14"/>
        <v>3.8633763354586302E-7</v>
      </c>
      <c r="T78" s="37">
        <v>7.8589999999999993E-2</v>
      </c>
      <c r="U78" s="15">
        <f t="shared" si="15"/>
        <v>6991804.26253583</v>
      </c>
      <c r="V78" s="15">
        <f t="shared" si="16"/>
        <v>0.12242649263700241</v>
      </c>
      <c r="W78" s="15">
        <f t="shared" si="24"/>
        <v>1.7510000000000003E-8</v>
      </c>
      <c r="Y78" s="1">
        <f t="shared" si="17"/>
        <v>4.5775458341380702E-7</v>
      </c>
      <c r="Z78" s="1">
        <f t="shared" si="18"/>
        <v>5900972.2914387658</v>
      </c>
      <c r="AA78" s="1">
        <f t="shared" si="19"/>
        <v>0.1033260248230928</v>
      </c>
      <c r="AI78" s="21"/>
      <c r="AJ78" s="38">
        <v>1.4239999999999999</v>
      </c>
      <c r="AK78" s="12">
        <f t="shared" si="25"/>
        <v>1.7151137347379101E-7</v>
      </c>
      <c r="AL78" s="13">
        <v>0.63</v>
      </c>
      <c r="AM78" s="26">
        <f t="shared" si="26"/>
        <v>97133218.042650595</v>
      </c>
      <c r="AN78" s="26">
        <f t="shared" si="27"/>
        <v>2.0446542397977963</v>
      </c>
      <c r="AO78" s="27">
        <f t="shared" si="28"/>
        <v>2.1050000000000013E-8</v>
      </c>
      <c r="AP78" s="27"/>
      <c r="AQ78" s="26">
        <f t="shared" si="29"/>
        <v>2.3955945098566003E-7</v>
      </c>
      <c r="AR78" s="26">
        <f t="shared" si="30"/>
        <v>69542034.630148873</v>
      </c>
      <c r="AS78" s="26">
        <f t="shared" si="31"/>
        <v>1.4638598289646347</v>
      </c>
      <c r="AT78" s="26">
        <f t="shared" si="32"/>
        <v>1.39769290444796E-5</v>
      </c>
      <c r="AU78" s="26">
        <f t="shared" si="20"/>
        <v>3546073.8771297256</v>
      </c>
      <c r="AV78" s="26">
        <f t="shared" si="21"/>
        <v>7.4644855113580766E-2</v>
      </c>
    </row>
    <row r="79" spans="2:48" x14ac:dyDescent="0.2">
      <c r="B79" s="38">
        <v>2.0550000000000002</v>
      </c>
      <c r="C79" s="14">
        <f t="shared" si="22"/>
        <v>2.54142406922554E-7</v>
      </c>
      <c r="D79" s="39">
        <v>-2.5514250000000001</v>
      </c>
      <c r="E79" s="15">
        <f t="shared" si="9"/>
        <v>1874703.9691975932</v>
      </c>
      <c r="F79" s="15">
        <f t="shared" si="23"/>
        <v>2.9695310872089854E-2</v>
      </c>
      <c r="G79" s="16">
        <f t="shared" si="10"/>
        <v>1.5839999999999988E-8</v>
      </c>
      <c r="I79" s="1">
        <f t="shared" si="11"/>
        <v>3.8589644251042602E-7</v>
      </c>
      <c r="J79" s="1">
        <f t="shared" si="12"/>
        <v>1234636.3596919386</v>
      </c>
      <c r="K79" s="1">
        <f t="shared" si="13"/>
        <v>1.9556639937520295E-2</v>
      </c>
      <c r="R79" s="38">
        <v>1.7941</v>
      </c>
      <c r="S79" s="14">
        <f t="shared" si="14"/>
        <v>2.2311571791742499E-7</v>
      </c>
      <c r="T79" s="37">
        <v>-1.6989000000000001</v>
      </c>
      <c r="U79" s="15">
        <f t="shared" si="15"/>
        <v>6074496.5886746962</v>
      </c>
      <c r="V79" s="15">
        <f t="shared" si="16"/>
        <v>0.12634952904443364</v>
      </c>
      <c r="W79" s="16">
        <f t="shared" si="24"/>
        <v>2.0799999999999994E-8</v>
      </c>
      <c r="Y79" s="1">
        <f t="shared" si="17"/>
        <v>3.1078359355087798E-7</v>
      </c>
      <c r="Z79" s="1">
        <f t="shared" si="18"/>
        <v>4360962.7261331826</v>
      </c>
      <c r="AA79" s="1">
        <f t="shared" si="19"/>
        <v>9.0708024703570173E-2</v>
      </c>
      <c r="AI79" s="21"/>
      <c r="AJ79" s="38">
        <v>1.6345000000000001</v>
      </c>
      <c r="AK79" s="12">
        <f t="shared" si="25"/>
        <v>2.1526484059641E-7</v>
      </c>
      <c r="AL79" s="13">
        <v>-2.1800000000000002</v>
      </c>
      <c r="AM79" s="26">
        <f t="shared" si="26"/>
        <v>28551566.717093725</v>
      </c>
      <c r="AN79" s="26">
        <f t="shared" si="27"/>
        <v>0.55589900398181435</v>
      </c>
      <c r="AO79" s="27">
        <f t="shared" si="28"/>
        <v>1.9469999999999985E-8</v>
      </c>
      <c r="AP79" s="27"/>
      <c r="AQ79" s="26">
        <f t="shared" si="29"/>
        <v>3.2276077314802299E-7</v>
      </c>
      <c r="AR79" s="26">
        <f t="shared" si="30"/>
        <v>19042426.990699485</v>
      </c>
      <c r="AS79" s="26">
        <f t="shared" si="31"/>
        <v>0.37075605350891871</v>
      </c>
      <c r="AT79" s="26">
        <f t="shared" si="32"/>
        <v>4.0699669877158502E-6</v>
      </c>
      <c r="AU79" s="26">
        <f t="shared" si="20"/>
        <v>4093264.5612867372</v>
      </c>
      <c r="AV79" s="26">
        <f t="shared" si="21"/>
        <v>7.9695861008252711E-2</v>
      </c>
    </row>
    <row r="80" spans="2:48" x14ac:dyDescent="0.2">
      <c r="B80" s="38">
        <v>2.2134</v>
      </c>
      <c r="C80" s="14">
        <f t="shared" si="22"/>
        <v>9.2079297180121001E-7</v>
      </c>
      <c r="D80" s="39">
        <v>-1.9108649999999998</v>
      </c>
      <c r="E80" s="15">
        <f t="shared" si="9"/>
        <v>610879.75548265246</v>
      </c>
      <c r="F80" s="15">
        <f t="shared" si="23"/>
        <v>1.1802196875924847E-2</v>
      </c>
      <c r="G80" s="16">
        <f t="shared" si="10"/>
        <v>1.9320000000000004E-8</v>
      </c>
      <c r="I80" s="1">
        <f t="shared" si="11"/>
        <v>1.19725923023152E-6</v>
      </c>
      <c r="J80" s="1">
        <f t="shared" si="12"/>
        <v>469817.87340682751</v>
      </c>
      <c r="K80" s="1">
        <f t="shared" si="13"/>
        <v>9.076881314219909E-3</v>
      </c>
      <c r="R80" s="38">
        <v>2.0021</v>
      </c>
      <c r="S80" s="14">
        <f t="shared" si="14"/>
        <v>1.9883528376227E-7</v>
      </c>
      <c r="T80" s="37">
        <v>-2.3532000000000002</v>
      </c>
      <c r="U80" s="15">
        <f t="shared" si="15"/>
        <v>5288033.9327524099</v>
      </c>
      <c r="V80" s="15">
        <f t="shared" si="16"/>
        <v>0.10168889252682879</v>
      </c>
      <c r="W80" s="16">
        <f t="shared" si="24"/>
        <v>1.9229999999999991E-8</v>
      </c>
      <c r="Y80" s="1">
        <f t="shared" si="17"/>
        <v>3.1772392049940702E-7</v>
      </c>
      <c r="Z80" s="1">
        <f t="shared" si="18"/>
        <v>3309312.4556396138</v>
      </c>
      <c r="AA80" s="1">
        <f t="shared" si="19"/>
        <v>6.3638078521949748E-2</v>
      </c>
      <c r="AI80" s="21"/>
      <c r="AJ80" s="38">
        <v>1.8291999999999999</v>
      </c>
      <c r="AK80" s="12">
        <f t="shared" si="25"/>
        <v>2.3932365085651602E-7</v>
      </c>
      <c r="AL80" s="13">
        <v>-4.75</v>
      </c>
      <c r="AM80" s="26">
        <f t="shared" si="26"/>
        <v>18901598.623298321</v>
      </c>
      <c r="AN80" s="26">
        <f t="shared" si="27"/>
        <v>0.34060680719183561</v>
      </c>
      <c r="AO80" s="27">
        <f t="shared" si="28"/>
        <v>1.8019999999999992E-8</v>
      </c>
      <c r="AP80" s="27"/>
      <c r="AQ80" s="26">
        <f t="shared" si="29"/>
        <v>3.1885192130458998E-7</v>
      </c>
      <c r="AR80" s="26">
        <f t="shared" si="30"/>
        <v>14187148.601908496</v>
      </c>
      <c r="AS80" s="26">
        <f t="shared" si="31"/>
        <v>0.25565241780639097</v>
      </c>
      <c r="AT80" s="26">
        <f t="shared" si="32"/>
        <v>7.4109660607268203E-6</v>
      </c>
      <c r="AU80" s="26">
        <f t="shared" si="20"/>
        <v>829331.61584741774</v>
      </c>
      <c r="AV80" s="26">
        <f t="shared" si="21"/>
        <v>1.4944555717570461E-2</v>
      </c>
    </row>
    <row r="81" spans="1:48" x14ac:dyDescent="0.2">
      <c r="B81" s="38">
        <v>2.4066000000000001</v>
      </c>
      <c r="C81" s="14">
        <f t="shared" si="22"/>
        <v>1.0019992394249901E-6</v>
      </c>
      <c r="D81" s="39">
        <v>-1.4829375</v>
      </c>
      <c r="E81" s="15">
        <f t="shared" si="9"/>
        <v>389733.43386284885</v>
      </c>
      <c r="F81" s="15">
        <f t="shared" si="23"/>
        <v>9.6108264790578483E-3</v>
      </c>
      <c r="G81" s="16">
        <f t="shared" si="10"/>
        <v>2.4659999999999991E-8</v>
      </c>
      <c r="I81" s="1">
        <f t="shared" si="11"/>
        <v>1.16280417561367E-6</v>
      </c>
      <c r="J81" s="1">
        <f t="shared" si="12"/>
        <v>335836.94701042084</v>
      </c>
      <c r="K81" s="1">
        <f t="shared" si="13"/>
        <v>8.2817391132769744E-3</v>
      </c>
      <c r="R81" s="38">
        <v>2.1943999999999999</v>
      </c>
      <c r="S81" s="14">
        <f t="shared" si="14"/>
        <v>3.5751424601075099E-7</v>
      </c>
      <c r="T81" s="37">
        <v>-1.3136000000000001</v>
      </c>
      <c r="U81" s="15">
        <f t="shared" si="15"/>
        <v>4402223.158892923</v>
      </c>
      <c r="V81" s="15">
        <f t="shared" si="16"/>
        <v>0.10662184490838657</v>
      </c>
      <c r="W81" s="16">
        <f t="shared" si="24"/>
        <v>2.4219999999999995E-8</v>
      </c>
      <c r="Y81" s="1">
        <f t="shared" si="17"/>
        <v>4.6377123224602601E-7</v>
      </c>
      <c r="Z81" s="1">
        <f t="shared" si="18"/>
        <v>3393607.416744112</v>
      </c>
      <c r="AA81" s="1">
        <f t="shared" si="19"/>
        <v>8.2193171633542381E-2</v>
      </c>
      <c r="AI81" s="21"/>
      <c r="AJ81" s="38">
        <v>2.0093999999999999</v>
      </c>
      <c r="AK81" s="12">
        <f t="shared" si="25"/>
        <v>4.5117822827028898E-7</v>
      </c>
      <c r="AL81" s="13">
        <v>-5.54</v>
      </c>
      <c r="AM81" s="26">
        <f t="shared" si="26"/>
        <v>23542189.719646975</v>
      </c>
      <c r="AN81" s="26">
        <f t="shared" si="27"/>
        <v>0.49415056221539044</v>
      </c>
      <c r="AO81" s="27">
        <f t="shared" si="28"/>
        <v>2.0990000000000018E-8</v>
      </c>
      <c r="AP81" s="27"/>
      <c r="AQ81" s="26">
        <f t="shared" si="29"/>
        <v>5.81266043588243E-7</v>
      </c>
      <c r="AR81" s="26">
        <f t="shared" si="30"/>
        <v>18273428.431745011</v>
      </c>
      <c r="AS81" s="26">
        <f t="shared" si="31"/>
        <v>0.3835592627823281</v>
      </c>
      <c r="AT81" s="26">
        <f t="shared" si="32"/>
        <v>2.00841411527206E-6</v>
      </c>
      <c r="AU81" s="26">
        <f t="shared" si="20"/>
        <v>2252324.1373154181</v>
      </c>
      <c r="AV81" s="26">
        <f t="shared" si="21"/>
        <v>4.7276283642250665E-2</v>
      </c>
    </row>
    <row r="82" spans="1:48" x14ac:dyDescent="0.2">
      <c r="B82" s="38">
        <v>2.6532</v>
      </c>
      <c r="C82" s="14">
        <f t="shared" si="22"/>
        <v>4.1807049509296102E-6</v>
      </c>
      <c r="D82" s="39">
        <v>-2.4234599999999995</v>
      </c>
      <c r="E82" s="15">
        <f t="shared" si="9"/>
        <v>63183.206222428904</v>
      </c>
      <c r="F82" s="15">
        <f t="shared" si="23"/>
        <v>1.2857782466264283E-3</v>
      </c>
      <c r="G82" s="16">
        <f t="shared" si="10"/>
        <v>2.035E-8</v>
      </c>
      <c r="I82" s="1">
        <f t="shared" si="11"/>
        <v>3.7674567800476501E-6</v>
      </c>
      <c r="J82" s="1">
        <f t="shared" si="12"/>
        <v>70113.702290799512</v>
      </c>
      <c r="K82" s="1">
        <f t="shared" si="13"/>
        <v>1.4268138416177701E-3</v>
      </c>
      <c r="R82" s="38">
        <v>2.4365999999999999</v>
      </c>
      <c r="S82" s="14">
        <f t="shared" si="14"/>
        <v>2.57203757717042E-7</v>
      </c>
      <c r="T82" s="37">
        <v>0.98773</v>
      </c>
      <c r="U82" s="15">
        <f t="shared" si="15"/>
        <v>14944229.711190363</v>
      </c>
      <c r="V82" s="15">
        <f t="shared" si="16"/>
        <v>0.28065263397615525</v>
      </c>
      <c r="W82" s="16">
        <f>(R83-R82)*Q$47</f>
        <v>1.8780000000000017E-8</v>
      </c>
      <c r="Y82" s="1">
        <f t="shared" si="17"/>
        <v>3.6914240497004402E-7</v>
      </c>
      <c r="Z82" s="1">
        <f t="shared" si="18"/>
        <v>10412545.365024494</v>
      </c>
      <c r="AA82" s="1">
        <f t="shared" si="19"/>
        <v>0.19554760195516016</v>
      </c>
      <c r="AI82" s="21"/>
      <c r="AJ82" s="38">
        <v>2.2193000000000001</v>
      </c>
      <c r="AK82" s="12">
        <f t="shared" si="25"/>
        <v>3.6718109868048498E-7</v>
      </c>
      <c r="AL82" s="13">
        <v>-3.34</v>
      </c>
      <c r="AM82" s="26">
        <f t="shared" si="26"/>
        <v>124420857.03767058</v>
      </c>
      <c r="AN82" s="26">
        <f t="shared" si="27"/>
        <v>2.9811237346225847</v>
      </c>
      <c r="AO82" s="27">
        <f t="shared" si="28"/>
        <v>2.3959999999999981E-8</v>
      </c>
      <c r="AP82" s="27"/>
      <c r="AQ82" s="26">
        <f t="shared" si="29"/>
        <v>4.34363623930819E-7</v>
      </c>
      <c r="AR82" s="26">
        <f t="shared" si="30"/>
        <v>105176825.28851835</v>
      </c>
      <c r="AS82" s="26">
        <f t="shared" si="31"/>
        <v>2.5200367339128977</v>
      </c>
      <c r="AT82" s="26">
        <f t="shared" si="32"/>
        <v>3.6271824894039099E-6</v>
      </c>
      <c r="AU82" s="26">
        <f t="shared" si="20"/>
        <v>2928367.5355024403</v>
      </c>
      <c r="AV82" s="26">
        <f t="shared" si="21"/>
        <v>7.0163686150638407E-2</v>
      </c>
    </row>
    <row r="83" spans="1:48" x14ac:dyDescent="0.2">
      <c r="B83" s="38">
        <v>2.8567</v>
      </c>
      <c r="C83" s="14">
        <f t="shared" si="22"/>
        <v>7.4114933650427299E-6</v>
      </c>
      <c r="D83" s="39">
        <v>-3.4310499999999999</v>
      </c>
      <c r="E83" s="15">
        <f t="shared" si="9"/>
        <v>29316.183950091669</v>
      </c>
      <c r="F83" s="15">
        <f t="shared" si="23"/>
        <v>5.9775699074236896E-4</v>
      </c>
      <c r="G83" s="16">
        <f t="shared" si="10"/>
        <v>2.0389999999999996E-8</v>
      </c>
      <c r="I83" s="1">
        <f t="shared" si="11"/>
        <v>6.8260643787918402E-6</v>
      </c>
      <c r="J83" s="1">
        <f t="shared" si="12"/>
        <v>31830.450282529102</v>
      </c>
      <c r="K83" s="1">
        <f t="shared" si="13"/>
        <v>6.4902288126076821E-4</v>
      </c>
      <c r="R83" s="38">
        <v>2.6244000000000001</v>
      </c>
      <c r="S83" s="14">
        <f t="shared" si="14"/>
        <v>2.9392434591550499E-7</v>
      </c>
      <c r="T83" s="37">
        <v>2.5432999999999999</v>
      </c>
      <c r="U83" s="15">
        <f t="shared" si="15"/>
        <v>23913133.518649973</v>
      </c>
      <c r="V83" s="15">
        <f t="shared" si="16"/>
        <v>0.46056695156919869</v>
      </c>
      <c r="W83" s="16">
        <f t="shared" si="24"/>
        <v>1.9260000000000008E-8</v>
      </c>
      <c r="Y83" s="1">
        <f t="shared" si="17"/>
        <v>4.1480294634976E-7</v>
      </c>
      <c r="Z83" s="1">
        <f t="shared" si="18"/>
        <v>16944556.903732315</v>
      </c>
      <c r="AA83" s="1">
        <f t="shared" si="19"/>
        <v>0.32635216596588451</v>
      </c>
      <c r="AI83" s="21"/>
      <c r="AJ83" s="38">
        <v>2.4588999999999999</v>
      </c>
      <c r="AK83" s="12">
        <f t="shared" si="25"/>
        <v>3.7991178489574801E-7</v>
      </c>
      <c r="AL83" s="13">
        <v>0.42</v>
      </c>
      <c r="AM83" s="26">
        <f t="shared" si="26"/>
        <v>240832200.92155841</v>
      </c>
      <c r="AN83" s="26">
        <f t="shared" si="27"/>
        <v>5.4861575369931064</v>
      </c>
      <c r="AO83" s="27">
        <f t="shared" si="28"/>
        <v>2.2780000000000023E-8</v>
      </c>
      <c r="AP83" s="27"/>
      <c r="AQ83" s="26">
        <f t="shared" si="29"/>
        <v>4.9681423257137202E-7</v>
      </c>
      <c r="AR83" s="26">
        <f t="shared" si="30"/>
        <v>184163386.05866441</v>
      </c>
      <c r="AS83" s="26">
        <f t="shared" si="31"/>
        <v>4.1952419344163792</v>
      </c>
      <c r="AT83" s="26">
        <f t="shared" si="32"/>
        <v>3.7642047281173798E-6</v>
      </c>
      <c r="AU83" s="26">
        <f t="shared" si="20"/>
        <v>12136690.293332748</v>
      </c>
      <c r="AV83" s="26">
        <f t="shared" si="21"/>
        <v>0.27647380488212026</v>
      </c>
    </row>
    <row r="84" spans="1:48" x14ac:dyDescent="0.2">
      <c r="B84" s="38">
        <v>3.0606</v>
      </c>
      <c r="C84" s="14">
        <f t="shared" si="22"/>
        <v>1.6837116608811299E-5</v>
      </c>
      <c r="D84" s="39">
        <v>-3.9345250000000003</v>
      </c>
      <c r="E84" s="15">
        <f t="shared" si="9"/>
        <v>12119.641429423389</v>
      </c>
      <c r="F84" s="15">
        <f t="shared" si="23"/>
        <v>2.583907552753067E-4</v>
      </c>
      <c r="G84" s="16">
        <f t="shared" si="10"/>
        <v>2.1320000000000005E-8</v>
      </c>
      <c r="I84" s="1">
        <f t="shared" si="11"/>
        <v>1.35532586488329E-5</v>
      </c>
      <c r="J84" s="1">
        <f t="shared" si="12"/>
        <v>15056.144156280387</v>
      </c>
      <c r="K84" s="1">
        <f t="shared" si="13"/>
        <v>3.2099699341189792E-4</v>
      </c>
      <c r="R84" s="38">
        <v>2.8170000000000002</v>
      </c>
      <c r="S84" s="14">
        <f t="shared" si="14"/>
        <v>1.0468274989703001E-6</v>
      </c>
      <c r="T84" s="37">
        <v>2.9609000000000001</v>
      </c>
      <c r="U84" s="15">
        <f t="shared" si="15"/>
        <v>7895226.3070272394</v>
      </c>
      <c r="V84" s="15">
        <f t="shared" si="16"/>
        <v>0.16722089318283673</v>
      </c>
      <c r="W84" s="16">
        <f t="shared" si="24"/>
        <v>2.1179999999999975E-8</v>
      </c>
      <c r="Y84" s="1">
        <f t="shared" si="17"/>
        <v>1.1963773197246601E-6</v>
      </c>
      <c r="Z84" s="1">
        <f t="shared" si="18"/>
        <v>6908305.4923608676</v>
      </c>
      <c r="AA84" s="1">
        <f t="shared" si="19"/>
        <v>0.14631791032820302</v>
      </c>
      <c r="AI84" s="21"/>
      <c r="AJ84" s="38">
        <v>2.6867000000000001</v>
      </c>
      <c r="AK84" s="12">
        <f t="shared" si="25"/>
        <v>5.9937175631943197E-7</v>
      </c>
      <c r="AL84" s="13">
        <v>2.21</v>
      </c>
      <c r="AM84" s="26">
        <f t="shared" si="26"/>
        <v>150884941.31980416</v>
      </c>
      <c r="AN84" s="26">
        <f t="shared" si="27"/>
        <v>2.1712343055919803</v>
      </c>
      <c r="AO84" s="27">
        <f t="shared" si="28"/>
        <v>1.438999999999999E-8</v>
      </c>
      <c r="AP84" s="27"/>
      <c r="AQ84" s="26">
        <f t="shared" si="29"/>
        <v>8.5716498704401296E-7</v>
      </c>
      <c r="AR84" s="26">
        <f t="shared" si="30"/>
        <v>105506143.68055356</v>
      </c>
      <c r="AS84" s="26">
        <f t="shared" si="31"/>
        <v>1.5182334075631647</v>
      </c>
      <c r="AT84" s="26">
        <f t="shared" si="32"/>
        <v>8.6105721933273596E-7</v>
      </c>
      <c r="AU84" s="26">
        <f t="shared" si="20"/>
        <v>106258898.08273531</v>
      </c>
      <c r="AV84" s="26">
        <f t="shared" si="21"/>
        <v>1.5290655434105602</v>
      </c>
    </row>
    <row r="85" spans="1:48" x14ac:dyDescent="0.2">
      <c r="B85" s="38">
        <v>3.2738</v>
      </c>
      <c r="C85" s="14">
        <f t="shared" si="22"/>
        <v>2.5780595165069999E-5</v>
      </c>
      <c r="D85" s="39">
        <v>-4.0962750000000003</v>
      </c>
      <c r="E85" s="15">
        <f t="shared" si="9"/>
        <v>7827.0655664704864</v>
      </c>
      <c r="F85" s="15">
        <f t="shared" si="23"/>
        <v>1.437831944560628E-4</v>
      </c>
      <c r="G85" s="16">
        <f t="shared" si="10"/>
        <v>1.8369999999999995E-8</v>
      </c>
      <c r="I85" s="1">
        <f t="shared" si="11"/>
        <v>3.31588376110891E-5</v>
      </c>
      <c r="J85" s="1">
        <f t="shared" si="12"/>
        <v>6085.4488045187918</v>
      </c>
      <c r="K85" s="1">
        <f t="shared" si="13"/>
        <v>1.1178969453901018E-4</v>
      </c>
      <c r="R85" s="38">
        <v>3.0287999999999999</v>
      </c>
      <c r="S85" s="14">
        <f t="shared" si="14"/>
        <v>4.3019105439208299E-6</v>
      </c>
      <c r="T85" s="37">
        <v>2.5028000000000001</v>
      </c>
      <c r="U85" s="15">
        <f t="shared" si="15"/>
        <v>1608370.9652502835</v>
      </c>
      <c r="V85" s="15">
        <f t="shared" si="16"/>
        <v>2.4045145930491767E-2</v>
      </c>
      <c r="W85" s="16">
        <f t="shared" si="24"/>
        <v>1.4950000000000018E-8</v>
      </c>
      <c r="Y85" s="1">
        <f t="shared" si="17"/>
        <v>3.5279477122361401E-6</v>
      </c>
      <c r="Z85" s="1">
        <f t="shared" si="18"/>
        <v>1961216.1455649135</v>
      </c>
      <c r="AA85" s="1">
        <f t="shared" si="19"/>
        <v>2.9320181376195492E-2</v>
      </c>
      <c r="AI85" s="21"/>
      <c r="AJ85" s="38">
        <v>2.8306</v>
      </c>
      <c r="AK85" s="12">
        <f t="shared" si="25"/>
        <v>1.85393377596616E-6</v>
      </c>
      <c r="AL85" s="13">
        <v>2.1800000000000002</v>
      </c>
      <c r="AM85" s="26">
        <f t="shared" si="26"/>
        <v>51105606.503508143</v>
      </c>
      <c r="AN85" s="26">
        <f t="shared" si="27"/>
        <v>1.1023479322806706</v>
      </c>
      <c r="AO85" s="27">
        <f t="shared" si="28"/>
        <v>2.1570000000000001E-8</v>
      </c>
      <c r="AP85" s="27"/>
      <c r="AQ85" s="26">
        <f t="shared" si="29"/>
        <v>1.86533144890655E-6</v>
      </c>
      <c r="AR85" s="26">
        <f t="shared" si="30"/>
        <v>50793337.609586522</v>
      </c>
      <c r="AS85" s="26">
        <f t="shared" si="31"/>
        <v>1.0956122922387812</v>
      </c>
      <c r="AT85" s="26">
        <f t="shared" si="32"/>
        <v>3.8519411164172E-7</v>
      </c>
      <c r="AU85" s="26">
        <f t="shared" si="20"/>
        <v>234780775.58237109</v>
      </c>
      <c r="AV85" s="26">
        <f t="shared" si="21"/>
        <v>5.0642213293117448</v>
      </c>
    </row>
    <row r="86" spans="1:48" x14ac:dyDescent="0.2">
      <c r="B86" s="38">
        <v>3.4575</v>
      </c>
      <c r="C86" s="14">
        <f t="shared" si="22"/>
        <v>3.0551047718461702E-5</v>
      </c>
      <c r="D86" s="39">
        <v>-4.1251499999999997</v>
      </c>
      <c r="E86" s="15">
        <f t="shared" si="9"/>
        <v>6616.4353704140576</v>
      </c>
      <c r="F86" s="15">
        <f>E86*G86</f>
        <v>1.3444596672681353E-4</v>
      </c>
      <c r="G86" s="16">
        <f t="shared" si="10"/>
        <v>2.0319999999999983E-8</v>
      </c>
      <c r="I86" s="1">
        <f t="shared" si="11"/>
        <v>3.2746703335374697E-5</v>
      </c>
      <c r="J86" s="1">
        <f t="shared" si="12"/>
        <v>6172.8055693861734</v>
      </c>
      <c r="K86" s="1">
        <f t="shared" si="13"/>
        <v>1.2543140916992693E-4</v>
      </c>
      <c r="R86" s="38">
        <v>3.1783000000000001</v>
      </c>
      <c r="S86" s="14">
        <f t="shared" si="14"/>
        <v>8.1629584015542998E-6</v>
      </c>
      <c r="T86" s="37">
        <v>2.2730999999999999</v>
      </c>
      <c r="U86" s="15">
        <f t="shared" si="15"/>
        <v>775344.00853558548</v>
      </c>
      <c r="V86" s="15">
        <f t="shared" si="16"/>
        <v>1.0668733557449652E-2</v>
      </c>
      <c r="W86" s="16">
        <f t="shared" si="24"/>
        <v>1.3759999999999994E-8</v>
      </c>
      <c r="Y86" s="1">
        <f t="shared" si="17"/>
        <v>8.1360533561794699E-6</v>
      </c>
      <c r="Z86" s="1">
        <f t="shared" si="18"/>
        <v>777907.98701722967</v>
      </c>
      <c r="AA86" s="1">
        <f t="shared" si="19"/>
        <v>1.0704013901357076E-2</v>
      </c>
      <c r="AI86" s="21"/>
      <c r="AJ86" s="38">
        <v>3.0463</v>
      </c>
      <c r="AK86" s="12">
        <f t="shared" si="25"/>
        <v>2.6101466938003598E-6</v>
      </c>
      <c r="AL86" s="13">
        <v>2.2999999999999998</v>
      </c>
      <c r="AM86" s="26">
        <f t="shared" si="26"/>
        <v>41579050.83219599</v>
      </c>
      <c r="AN86" s="26">
        <f t="shared" si="27"/>
        <v>0.8594389807014915</v>
      </c>
      <c r="AO86" s="27">
        <f t="shared" si="28"/>
        <v>2.0670000000000009E-8</v>
      </c>
      <c r="AP86" s="27"/>
      <c r="AQ86" s="26">
        <f t="shared" si="29"/>
        <v>2.7705143012370999E-6</v>
      </c>
      <c r="AR86" s="26">
        <f t="shared" si="30"/>
        <v>39172301.695953496</v>
      </c>
      <c r="AS86" s="26">
        <f t="shared" si="31"/>
        <v>0.80969147605535907</v>
      </c>
      <c r="AT86" s="26">
        <f t="shared" si="32"/>
        <v>1.6133942113222799E-7</v>
      </c>
      <c r="AU86" s="26">
        <f t="shared" si="20"/>
        <v>587248977.17612886</v>
      </c>
      <c r="AV86" s="26">
        <f t="shared" si="21"/>
        <v>12.138436358230589</v>
      </c>
    </row>
    <row r="87" spans="1:48" x14ac:dyDescent="0.2">
      <c r="A87" s="13"/>
      <c r="B87" s="38">
        <v>3.6606999999999998</v>
      </c>
      <c r="C87" s="14">
        <f t="shared" si="22"/>
        <v>6.84342297600897E-5</v>
      </c>
      <c r="D87" s="39">
        <v>-4.1206499999999995</v>
      </c>
      <c r="E87" s="15">
        <f t="shared" si="9"/>
        <v>2975.5974686248733</v>
      </c>
      <c r="F87" s="15">
        <f>E87*G87</f>
        <v>6.8587521651803377E-5</v>
      </c>
      <c r="G87" s="16">
        <f t="shared" si="10"/>
        <v>2.3050000000000014E-8</v>
      </c>
      <c r="I87" s="1">
        <f t="shared" si="11"/>
        <v>6.5456154304124604E-5</v>
      </c>
      <c r="J87" s="1">
        <f t="shared" si="12"/>
        <v>3110.9789905360253</v>
      </c>
      <c r="K87" s="1">
        <f t="shared" si="13"/>
        <v>7.1708065731855423E-5</v>
      </c>
      <c r="Q87" s="13"/>
      <c r="R87" s="38">
        <v>3.3159000000000001</v>
      </c>
      <c r="S87" s="14">
        <f t="shared" si="14"/>
        <v>8.0633941470920994E-6</v>
      </c>
      <c r="T87" s="37">
        <v>2.1844999999999999</v>
      </c>
      <c r="U87" s="15">
        <f t="shared" si="15"/>
        <v>758393.48439589352</v>
      </c>
      <c r="V87" s="15">
        <f t="shared" si="16"/>
        <v>1.2225302968461804E-2</v>
      </c>
      <c r="W87" s="16">
        <f t="shared" si="24"/>
        <v>1.6120000000000001E-8</v>
      </c>
      <c r="Y87" s="1">
        <f t="shared" si="17"/>
        <v>8.8328537702577296E-6</v>
      </c>
      <c r="Z87" s="1">
        <f t="shared" si="18"/>
        <v>692327.27523034706</v>
      </c>
      <c r="AA87" s="1">
        <f t="shared" si="19"/>
        <v>1.1160315676713196E-2</v>
      </c>
      <c r="AI87" s="21"/>
      <c r="AJ87" s="38">
        <v>3.2530000000000001</v>
      </c>
      <c r="AK87" s="12">
        <f t="shared" si="25"/>
        <v>9.9441188881943298E-6</v>
      </c>
      <c r="AL87" s="13">
        <v>2.65</v>
      </c>
      <c r="AM87" s="26">
        <f t="shared" si="26"/>
        <v>12213485.106186172</v>
      </c>
      <c r="AN87" s="26">
        <f t="shared" si="27"/>
        <v>0.27187217846370404</v>
      </c>
      <c r="AO87" s="27">
        <f t="shared" si="28"/>
        <v>2.2259999999999989E-8</v>
      </c>
      <c r="AP87" s="27"/>
      <c r="AQ87" s="26">
        <f t="shared" si="29"/>
        <v>8.8973906364823997E-6</v>
      </c>
      <c r="AR87" s="26">
        <f t="shared" si="30"/>
        <v>13650333.32774096</v>
      </c>
      <c r="AS87" s="26">
        <f t="shared" si="31"/>
        <v>0.30385641987551359</v>
      </c>
      <c r="AT87" s="26">
        <f t="shared" si="32"/>
        <v>5.0426183738024902E-8</v>
      </c>
      <c r="AU87" s="26">
        <f t="shared" si="20"/>
        <v>2152203756.3825421</v>
      </c>
      <c r="AV87" s="26">
        <f t="shared" si="21"/>
        <v>47.908055617075362</v>
      </c>
    </row>
    <row r="88" spans="1:48" x14ac:dyDescent="0.2">
      <c r="A88" s="13"/>
      <c r="B88" s="38">
        <v>3.8912</v>
      </c>
      <c r="C88" s="14">
        <f t="shared" si="22"/>
        <v>5.8993054163384297E-5</v>
      </c>
      <c r="D88" s="39">
        <v>-4.1016750000000002</v>
      </c>
      <c r="E88" s="15">
        <f t="shared" si="9"/>
        <v>3412.2597786572005</v>
      </c>
      <c r="F88" s="15">
        <f>E88*G88</f>
        <v>7.0394919233698089E-5</v>
      </c>
      <c r="G88" s="16">
        <f t="shared" si="10"/>
        <v>2.0630000000000013E-8</v>
      </c>
      <c r="I88" s="1">
        <f t="shared" si="11"/>
        <v>5.9725146768648099E-5</v>
      </c>
      <c r="J88" s="1">
        <f t="shared" si="12"/>
        <v>3370.4333406097448</v>
      </c>
      <c r="K88" s="1">
        <f t="shared" si="13"/>
        <v>6.9532039816779076E-5</v>
      </c>
      <c r="Q88" s="13"/>
      <c r="R88" s="38">
        <v>3.4771000000000001</v>
      </c>
      <c r="S88" s="14">
        <f t="shared" si="14"/>
        <v>8.8130557235549802E-6</v>
      </c>
      <c r="T88" s="37">
        <v>2.1993</v>
      </c>
      <c r="U88" s="15">
        <f t="shared" si="15"/>
        <v>697878.53230489744</v>
      </c>
      <c r="V88" s="15">
        <f t="shared" si="16"/>
        <v>1.3441140532192331E-2</v>
      </c>
      <c r="W88" s="16">
        <f>(R89-R88)*Q$47</f>
        <v>1.9260000000000008E-8</v>
      </c>
      <c r="Y88" s="1">
        <f t="shared" si="17"/>
        <v>1.18313889345658E-5</v>
      </c>
      <c r="Z88" s="1">
        <f t="shared" si="18"/>
        <v>519841.11311792833</v>
      </c>
      <c r="AA88" s="1">
        <f t="shared" si="19"/>
        <v>1.0012139838651304E-2</v>
      </c>
      <c r="AI88" s="13"/>
      <c r="AJ88" s="38">
        <v>3.4756</v>
      </c>
      <c r="AK88" s="12">
        <f t="shared" si="25"/>
        <v>1.5755536590053699E-5</v>
      </c>
      <c r="AL88" s="13">
        <v>2.94</v>
      </c>
      <c r="AM88" s="26">
        <f t="shared" si="26"/>
        <v>8044670.4537169337</v>
      </c>
      <c r="AN88" s="26">
        <f t="shared" si="27"/>
        <v>0.15156159134802713</v>
      </c>
      <c r="AO88" s="27">
        <f t="shared" si="28"/>
        <v>1.8840000000000012E-8</v>
      </c>
      <c r="AP88" s="27"/>
      <c r="AQ88" s="26">
        <f t="shared" si="29"/>
        <v>1.5406345885370101E-5</v>
      </c>
      <c r="AR88" s="26">
        <f t="shared" si="30"/>
        <v>8227005.9773759404</v>
      </c>
      <c r="AS88" s="26">
        <f t="shared" si="31"/>
        <v>0.15499679261376281</v>
      </c>
      <c r="AT88" s="26">
        <f t="shared" si="32"/>
        <v>2.04332740558245E-8</v>
      </c>
      <c r="AU88" s="26">
        <f t="shared" si="20"/>
        <v>5943851563.0580549</v>
      </c>
      <c r="AV88" s="26">
        <f t="shared" si="21"/>
        <v>111.98216344801382</v>
      </c>
    </row>
    <row r="89" spans="1:48" x14ac:dyDescent="0.2">
      <c r="B89" s="38">
        <v>4.0975000000000001</v>
      </c>
      <c r="C89" s="14">
        <f t="shared" si="22"/>
        <v>8.7504899190973397E-5</v>
      </c>
      <c r="D89" s="40">
        <v>-4.1313750000000002</v>
      </c>
      <c r="E89" s="15">
        <f t="shared" si="9"/>
        <v>11427.93157006637</v>
      </c>
      <c r="F89" s="15">
        <f>E89*G89</f>
        <v>2.3575822829046938E-4</v>
      </c>
      <c r="G89" s="16">
        <f>G88</f>
        <v>2.0630000000000013E-8</v>
      </c>
      <c r="I89" s="1">
        <f t="shared" si="11"/>
        <v>9.9618211647071295E-5</v>
      </c>
      <c r="J89" s="1">
        <f t="shared" si="12"/>
        <v>10038.325156275772</v>
      </c>
      <c r="K89" s="1">
        <f t="shared" si="13"/>
        <v>2.0709064797396932E-4</v>
      </c>
      <c r="R89" s="38">
        <v>3.6697000000000002</v>
      </c>
      <c r="S89" s="14">
        <f>Q42</f>
        <v>3.25596485630683E-5</v>
      </c>
      <c r="T89" s="37">
        <v>2.1945999999999999</v>
      </c>
      <c r="U89" s="15">
        <f t="shared" si="15"/>
        <v>188553.53257237075</v>
      </c>
      <c r="V89" s="15">
        <f>U89*W89</f>
        <v>3.6315410373438622E-3</v>
      </c>
      <c r="W89" s="16">
        <f>W88</f>
        <v>1.9260000000000008E-8</v>
      </c>
      <c r="Y89" s="1">
        <f t="shared" si="17"/>
        <v>2.7612060638529499E-5</v>
      </c>
      <c r="Z89" s="1">
        <f t="shared" si="18"/>
        <v>222338.95674250528</v>
      </c>
      <c r="AA89" s="1">
        <f>Z89*W89</f>
        <v>4.2822483068606539E-3</v>
      </c>
      <c r="AI89" s="13"/>
      <c r="AJ89" s="38">
        <v>3.6640000000000001</v>
      </c>
      <c r="AK89" s="12">
        <f t="shared" si="25"/>
        <v>3.5223492912944698E-5</v>
      </c>
      <c r="AL89" s="13">
        <v>3.05</v>
      </c>
      <c r="AM89" s="26">
        <f t="shared" si="26"/>
        <v>3612385.461405253</v>
      </c>
      <c r="AN89" s="26">
        <f t="shared" si="27"/>
        <v>7.8497136076336071E-2</v>
      </c>
      <c r="AO89" s="27">
        <f t="shared" si="28"/>
        <v>2.172999999999998E-8</v>
      </c>
      <c r="AP89" s="27"/>
      <c r="AQ89" s="26">
        <f t="shared" si="29"/>
        <v>3.4013737677878303E-5</v>
      </c>
      <c r="AR89" s="26">
        <f t="shared" si="30"/>
        <v>3740865.9672643589</v>
      </c>
      <c r="AS89" s="26">
        <f t="shared" si="31"/>
        <v>8.128901746865444E-2</v>
      </c>
      <c r="AT89" s="26">
        <f t="shared" si="32"/>
        <v>1.9355211265691599E-8</v>
      </c>
      <c r="AU89" s="26">
        <f t="shared" si="20"/>
        <v>6548525766.4498081</v>
      </c>
      <c r="AV89" s="26">
        <f t="shared" si="21"/>
        <v>142.29946490495419</v>
      </c>
    </row>
    <row r="90" spans="1:48" x14ac:dyDescent="0.2">
      <c r="B90" s="13"/>
      <c r="C90" s="14"/>
      <c r="E90" s="6" t="s">
        <v>3</v>
      </c>
      <c r="F90" s="7">
        <f>SUM(F51:F89)</f>
        <v>32.937974005811711</v>
      </c>
      <c r="J90" s="6" t="s">
        <v>3</v>
      </c>
      <c r="K90" s="7">
        <f>SUM(K51:K89)</f>
        <v>23.228258796119526</v>
      </c>
      <c r="R90" s="13"/>
      <c r="S90" s="14"/>
      <c r="U90" s="15"/>
      <c r="V90" s="15"/>
      <c r="AI90" s="21"/>
      <c r="AJ90" s="38">
        <v>3.8813</v>
      </c>
      <c r="AK90" s="12">
        <f t="shared" si="25"/>
        <v>2.7782135316149601E-5</v>
      </c>
      <c r="AL90" s="13">
        <v>3.06</v>
      </c>
      <c r="AM90" s="26">
        <f t="shared" si="26"/>
        <v>4615629.944411872</v>
      </c>
      <c r="AN90" s="26">
        <f t="shared" si="27"/>
        <v>8.095814922498433E-2</v>
      </c>
      <c r="AO90" s="27">
        <f t="shared" si="28"/>
        <v>1.754000000000002E-8</v>
      </c>
      <c r="AP90" s="27"/>
      <c r="AQ90" s="26">
        <f t="shared" si="29"/>
        <v>2.7905482577449099E-5</v>
      </c>
      <c r="AR90" s="26">
        <f t="shared" si="30"/>
        <v>4595228.0283641908</v>
      </c>
      <c r="AS90" s="26">
        <f t="shared" si="31"/>
        <v>8.0600299617508003E-2</v>
      </c>
      <c r="AT90" s="26">
        <f t="shared" si="32"/>
        <v>1.8927490601049499E-8</v>
      </c>
      <c r="AU90" s="26">
        <f t="shared" si="20"/>
        <v>6722541111.2647486</v>
      </c>
      <c r="AV90" s="26">
        <f t="shared" si="21"/>
        <v>117.91337109158383</v>
      </c>
    </row>
    <row r="91" spans="1:48" x14ac:dyDescent="0.2">
      <c r="E91" s="8"/>
      <c r="F91" s="7"/>
      <c r="J91" s="8"/>
      <c r="K91" s="7"/>
      <c r="U91" s="6" t="s">
        <v>3</v>
      </c>
      <c r="V91" s="7">
        <f>SUM(V51:V89)</f>
        <v>754.63280329039901</v>
      </c>
      <c r="Z91" s="6" t="s">
        <v>3</v>
      </c>
      <c r="AA91" s="7">
        <f>SUM(AA51:AA89)</f>
        <v>555.19836455698214</v>
      </c>
      <c r="AI91" s="21"/>
      <c r="AJ91" s="38">
        <v>4.0567000000000002</v>
      </c>
      <c r="AK91" s="12">
        <f t="shared" si="25"/>
        <v>3.1264832699406103E-5</v>
      </c>
      <c r="AL91" s="13">
        <v>3.08</v>
      </c>
      <c r="AM91" s="26">
        <f t="shared" si="26"/>
        <v>1241496.0101931135</v>
      </c>
      <c r="AN91" s="26">
        <f t="shared" si="27"/>
        <v>-0.50363768645504037</v>
      </c>
      <c r="AO91" s="27">
        <f t="shared" si="28"/>
        <v>-4.0567000000000001E-7</v>
      </c>
      <c r="AP91" s="27"/>
      <c r="AQ91" s="26">
        <f t="shared" si="29"/>
        <v>3.4815845460373699E-5</v>
      </c>
      <c r="AR91" s="26">
        <f>EXP((AL91-AL$61)/(0.008314*310))/AQ91</f>
        <v>3683152.1391853718</v>
      </c>
      <c r="AS91" s="26">
        <f>AO91*AR91</f>
        <v>-1.4941443283033298</v>
      </c>
      <c r="AT91" s="26">
        <f t="shared" si="32"/>
        <v>1.8829960082128699E-8</v>
      </c>
      <c r="AU91" s="26">
        <f t="shared" si="20"/>
        <v>6810001461.7995014</v>
      </c>
      <c r="AV91" s="26">
        <f t="shared" si="21"/>
        <v>-2762.613293008204</v>
      </c>
    </row>
    <row r="92" spans="1:48" x14ac:dyDescent="0.2">
      <c r="E92" s="8" t="s">
        <v>4</v>
      </c>
      <c r="F92" s="6">
        <f>1/F90</f>
        <v>3.0360094395106264E-2</v>
      </c>
      <c r="J92" s="8" t="s">
        <v>4</v>
      </c>
      <c r="K92" s="6">
        <f>1/K90</f>
        <v>4.3051009926196378E-2</v>
      </c>
      <c r="U92" s="8"/>
      <c r="V92" s="7"/>
      <c r="Z92" s="8"/>
      <c r="AA92" s="7"/>
      <c r="AI92" s="21"/>
      <c r="AJ92" s="21"/>
      <c r="AK92" s="21"/>
      <c r="AL92" s="21"/>
      <c r="AM92" s="6" t="s">
        <v>3</v>
      </c>
      <c r="AN92" s="28">
        <f>SUM(AN52:AN91)</f>
        <v>58722.153038760916</v>
      </c>
      <c r="AR92" s="6" t="s">
        <v>3</v>
      </c>
      <c r="AS92" s="36">
        <f>SUM(AS52:AS91)</f>
        <v>41593.635051606296</v>
      </c>
      <c r="AT92" s="1"/>
      <c r="AU92" s="6" t="s">
        <v>3</v>
      </c>
      <c r="AV92" s="7">
        <f>SUM(AV52:AV91)</f>
        <v>11467.617154769154</v>
      </c>
    </row>
    <row r="93" spans="1:48" x14ac:dyDescent="0.2">
      <c r="U93" s="8" t="s">
        <v>4</v>
      </c>
      <c r="V93" s="6">
        <f>1/V91</f>
        <v>1.3251478012083957E-3</v>
      </c>
      <c r="Z93" s="8" t="s">
        <v>4</v>
      </c>
      <c r="AA93" s="6">
        <f>1/AA91</f>
        <v>1.8011580433921941E-3</v>
      </c>
      <c r="AI93" s="21"/>
      <c r="AJ93" s="21"/>
      <c r="AK93" s="21"/>
      <c r="AL93" s="21"/>
      <c r="AM93" s="8"/>
      <c r="AN93" s="7"/>
      <c r="AR93" s="8"/>
      <c r="AS93" s="7"/>
      <c r="AT93" s="1"/>
      <c r="AU93" s="8"/>
      <c r="AV93" s="7"/>
    </row>
    <row r="94" spans="1:48" x14ac:dyDescent="0.2">
      <c r="AJ94" s="21"/>
      <c r="AK94" s="21"/>
      <c r="AL94" s="21"/>
      <c r="AM94" s="8" t="s">
        <v>4</v>
      </c>
      <c r="AN94" s="6">
        <f>1/AN92</f>
        <v>1.7029348350696998E-5</v>
      </c>
      <c r="AR94" s="8" t="s">
        <v>4</v>
      </c>
      <c r="AS94" s="6">
        <f>1/AS92</f>
        <v>2.4042140071654573E-5</v>
      </c>
      <c r="AT94" s="1"/>
      <c r="AU94" s="8" t="s">
        <v>4</v>
      </c>
      <c r="AV94" s="6">
        <f>1/AV92</f>
        <v>8.7202074023208905E-5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Permeability_350_500ns_50000lag</vt:lpstr>
      <vt:lpstr>PMF Convergence</vt:lpstr>
      <vt:lpstr>Benchmark</vt:lpstr>
      <vt:lpstr>Permeability_350_400ns_10000lag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Christian Jorgensen</cp:lastModifiedBy>
  <dcterms:created xsi:type="dcterms:W3CDTF">2022-06-02T07:50:16Z</dcterms:created>
  <dcterms:modified xsi:type="dcterms:W3CDTF">2025-12-14T17:28:55Z</dcterms:modified>
</cp:coreProperties>
</file>