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chrisjorg/Dropbox/SMD_BBB_paper/JCIM_submission/RESUBMISSION/"/>
    </mc:Choice>
  </mc:AlternateContent>
  <xr:revisionPtr revIDLastSave="0" documentId="13_ncr:1_{C589ECB7-C5F4-CE45-984F-26E6217F7020}" xr6:coauthVersionLast="47" xr6:coauthVersionMax="47" xr10:uidLastSave="{00000000-0000-0000-0000-000000000000}"/>
  <bookViews>
    <workbookView xWindow="1880" yWindow="680" windowWidth="25300" windowHeight="14580" activeTab="2" xr2:uid="{00000000-000D-0000-FFFF-FFFF00000000}"/>
  </bookViews>
  <sheets>
    <sheet name="BBB_permeability_asymm_PMF" sheetId="5" r:id="rId1"/>
    <sheet name="BBB_permeability_sym_PMF" sheetId="7" r:id="rId2"/>
    <sheet name="PMF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6" l="1"/>
  <c r="W6" i="6"/>
  <c r="W4" i="6"/>
  <c r="V5" i="6"/>
  <c r="V4" i="6"/>
  <c r="V6" i="6"/>
  <c r="S6" i="6"/>
  <c r="S5" i="6"/>
  <c r="S4" i="6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X21" i="7" s="1"/>
  <c r="W22" i="7"/>
  <c r="W23" i="7"/>
  <c r="W24" i="7"/>
  <c r="W25" i="7"/>
  <c r="W26" i="7"/>
  <c r="W27" i="7"/>
  <c r="X27" i="7" s="1"/>
  <c r="W28" i="7"/>
  <c r="W29" i="7"/>
  <c r="W30" i="7"/>
  <c r="W31" i="7"/>
  <c r="W32" i="7"/>
  <c r="W33" i="7"/>
  <c r="W34" i="7"/>
  <c r="W35" i="7"/>
  <c r="W36" i="7"/>
  <c r="W37" i="7"/>
  <c r="X37" i="7" s="1"/>
  <c r="W38" i="7"/>
  <c r="W39" i="7"/>
  <c r="W40" i="7"/>
  <c r="W41" i="7"/>
  <c r="W42" i="7"/>
  <c r="W43" i="7"/>
  <c r="W44" i="7"/>
  <c r="W45" i="7"/>
  <c r="W6" i="7"/>
  <c r="U45" i="7"/>
  <c r="U44" i="7"/>
  <c r="U43" i="7"/>
  <c r="X42" i="7"/>
  <c r="U42" i="7"/>
  <c r="X41" i="7"/>
  <c r="U41" i="7"/>
  <c r="U40" i="7"/>
  <c r="X40" i="7" s="1"/>
  <c r="U39" i="7"/>
  <c r="X39" i="7" s="1"/>
  <c r="U38" i="7"/>
  <c r="U37" i="7"/>
  <c r="U36" i="7"/>
  <c r="X35" i="7"/>
  <c r="U35" i="7"/>
  <c r="X34" i="7"/>
  <c r="U34" i="7"/>
  <c r="X33" i="7"/>
  <c r="U33" i="7"/>
  <c r="U32" i="7"/>
  <c r="X32" i="7" s="1"/>
  <c r="U31" i="7"/>
  <c r="X31" i="7" s="1"/>
  <c r="U30" i="7"/>
  <c r="X29" i="7"/>
  <c r="U29" i="7"/>
  <c r="U28" i="7"/>
  <c r="U27" i="7"/>
  <c r="X26" i="7"/>
  <c r="U26" i="7"/>
  <c r="X25" i="7"/>
  <c r="U25" i="7"/>
  <c r="U24" i="7"/>
  <c r="X24" i="7" s="1"/>
  <c r="U23" i="7"/>
  <c r="X23" i="7" s="1"/>
  <c r="U22" i="7"/>
  <c r="U21" i="7"/>
  <c r="U20" i="7"/>
  <c r="X19" i="7"/>
  <c r="U19" i="7"/>
  <c r="X18" i="7"/>
  <c r="U18" i="7"/>
  <c r="X17" i="7"/>
  <c r="U17" i="7"/>
  <c r="U16" i="7"/>
  <c r="X16" i="7" s="1"/>
  <c r="U15" i="7"/>
  <c r="X15" i="7" s="1"/>
  <c r="U14" i="7"/>
  <c r="X13" i="7"/>
  <c r="U13" i="7"/>
  <c r="U12" i="7"/>
  <c r="U11" i="7"/>
  <c r="X11" i="7" s="1"/>
  <c r="X10" i="7"/>
  <c r="U10" i="7"/>
  <c r="U9" i="7"/>
  <c r="X9" i="7" s="1"/>
  <c r="U8" i="7"/>
  <c r="X8" i="7" s="1"/>
  <c r="U7" i="7"/>
  <c r="X7" i="7" s="1"/>
  <c r="U6" i="7"/>
  <c r="X6" i="7" s="1"/>
  <c r="W7" i="5"/>
  <c r="W8" i="5"/>
  <c r="W9" i="5"/>
  <c r="W10" i="5"/>
  <c r="W11" i="5"/>
  <c r="W12" i="5"/>
  <c r="W13" i="5"/>
  <c r="W14" i="5"/>
  <c r="X14" i="5" s="1"/>
  <c r="W15" i="5"/>
  <c r="W16" i="5"/>
  <c r="W17" i="5"/>
  <c r="W18" i="5"/>
  <c r="W19" i="5"/>
  <c r="W20" i="5"/>
  <c r="W21" i="5"/>
  <c r="W22" i="5"/>
  <c r="X22" i="5" s="1"/>
  <c r="W23" i="5"/>
  <c r="W24" i="5"/>
  <c r="W25" i="5"/>
  <c r="W26" i="5"/>
  <c r="W27" i="5"/>
  <c r="W28" i="5"/>
  <c r="W29" i="5"/>
  <c r="W30" i="5"/>
  <c r="X30" i="5" s="1"/>
  <c r="W31" i="5"/>
  <c r="W32" i="5"/>
  <c r="W33" i="5"/>
  <c r="W34" i="5"/>
  <c r="W35" i="5"/>
  <c r="W36" i="5"/>
  <c r="W37" i="5"/>
  <c r="W38" i="5"/>
  <c r="X38" i="5" s="1"/>
  <c r="W39" i="5"/>
  <c r="W40" i="5"/>
  <c r="W41" i="5"/>
  <c r="W42" i="5"/>
  <c r="W43" i="5"/>
  <c r="W44" i="5"/>
  <c r="W45" i="5"/>
  <c r="W6" i="5"/>
  <c r="X25" i="5"/>
  <c r="X6" i="5"/>
  <c r="U45" i="5"/>
  <c r="U44" i="5"/>
  <c r="X44" i="5" s="1"/>
  <c r="U43" i="5"/>
  <c r="X43" i="5" s="1"/>
  <c r="U42" i="5"/>
  <c r="X41" i="5"/>
  <c r="U41" i="5"/>
  <c r="U40" i="5"/>
  <c r="X40" i="5" s="1"/>
  <c r="U39" i="5"/>
  <c r="X39" i="5" s="1"/>
  <c r="U38" i="5"/>
  <c r="U37" i="5"/>
  <c r="U36" i="5"/>
  <c r="U35" i="5"/>
  <c r="U34" i="5"/>
  <c r="X33" i="5"/>
  <c r="U33" i="5"/>
  <c r="U32" i="5"/>
  <c r="U31" i="5"/>
  <c r="X31" i="5" s="1"/>
  <c r="U30" i="5"/>
  <c r="U29" i="5"/>
  <c r="U28" i="5"/>
  <c r="U27" i="5"/>
  <c r="U26" i="5"/>
  <c r="U25" i="5"/>
  <c r="U24" i="5"/>
  <c r="X24" i="5" s="1"/>
  <c r="U23" i="5"/>
  <c r="X23" i="5" s="1"/>
  <c r="U22" i="5"/>
  <c r="U21" i="5"/>
  <c r="X21" i="5" s="1"/>
  <c r="U20" i="5"/>
  <c r="U19" i="5"/>
  <c r="U18" i="5"/>
  <c r="X17" i="5"/>
  <c r="U17" i="5"/>
  <c r="U16" i="5"/>
  <c r="X16" i="5" s="1"/>
  <c r="U15" i="5"/>
  <c r="X15" i="5" s="1"/>
  <c r="U14" i="5"/>
  <c r="U13" i="5"/>
  <c r="U12" i="5"/>
  <c r="U11" i="5"/>
  <c r="U10" i="5"/>
  <c r="X9" i="5"/>
  <c r="U9" i="5"/>
  <c r="U8" i="5"/>
  <c r="X8" i="5" s="1"/>
  <c r="U7" i="5"/>
  <c r="X7" i="5" s="1"/>
  <c r="U6" i="5"/>
  <c r="X36" i="7" l="1"/>
  <c r="X43" i="7"/>
  <c r="X30" i="7"/>
  <c r="X22" i="7"/>
  <c r="X38" i="7"/>
  <c r="X44" i="7"/>
  <c r="X14" i="7"/>
  <c r="X46" i="7" s="1"/>
  <c r="X48" i="7" s="1"/>
  <c r="X20" i="7"/>
  <c r="X12" i="7"/>
  <c r="X28" i="7"/>
  <c r="X45" i="7"/>
  <c r="X45" i="5"/>
  <c r="X10" i="5"/>
  <c r="X26" i="5"/>
  <c r="X27" i="5"/>
  <c r="X34" i="5"/>
  <c r="X20" i="5"/>
  <c r="X28" i="5"/>
  <c r="X35" i="5"/>
  <c r="X29" i="5"/>
  <c r="X36" i="5"/>
  <c r="X37" i="5"/>
  <c r="X18" i="5"/>
  <c r="X42" i="5"/>
  <c r="X11" i="5"/>
  <c r="X12" i="5"/>
  <c r="X13" i="5"/>
  <c r="X19" i="5"/>
  <c r="X32" i="5"/>
  <c r="O40" i="7"/>
  <c r="O39" i="7"/>
  <c r="O23" i="7"/>
  <c r="O21" i="7"/>
  <c r="O17" i="7"/>
  <c r="O15" i="7"/>
  <c r="O8" i="7"/>
  <c r="O7" i="7"/>
  <c r="O42" i="7"/>
  <c r="O38" i="7"/>
  <c r="O37" i="7"/>
  <c r="O34" i="7"/>
  <c r="O32" i="7"/>
  <c r="O30" i="7"/>
  <c r="O29" i="7"/>
  <c r="O22" i="7"/>
  <c r="O18" i="7"/>
  <c r="O12" i="7"/>
  <c r="O13" i="7"/>
  <c r="O10" i="7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08" i="6"/>
  <c r="F44" i="7"/>
  <c r="F43" i="7"/>
  <c r="D43" i="7"/>
  <c r="F42" i="7"/>
  <c r="F41" i="7"/>
  <c r="M40" i="7"/>
  <c r="F40" i="7"/>
  <c r="F39" i="7"/>
  <c r="F38" i="7"/>
  <c r="F37" i="7"/>
  <c r="F36" i="7"/>
  <c r="O35" i="7"/>
  <c r="F35" i="7"/>
  <c r="G35" i="7" s="1"/>
  <c r="D35" i="7"/>
  <c r="F34" i="7"/>
  <c r="O33" i="7"/>
  <c r="F33" i="7"/>
  <c r="M32" i="7"/>
  <c r="F32" i="7"/>
  <c r="F31" i="7"/>
  <c r="F30" i="7"/>
  <c r="F29" i="7"/>
  <c r="O28" i="7"/>
  <c r="F28" i="7"/>
  <c r="G28" i="7" s="1"/>
  <c r="D28" i="7"/>
  <c r="F27" i="7"/>
  <c r="G27" i="7" s="1"/>
  <c r="D27" i="7"/>
  <c r="O26" i="7"/>
  <c r="F26" i="7"/>
  <c r="F25" i="7"/>
  <c r="M24" i="7"/>
  <c r="F24" i="7"/>
  <c r="F23" i="7"/>
  <c r="F22" i="7"/>
  <c r="F21" i="7"/>
  <c r="F20" i="7"/>
  <c r="G20" i="7" s="1"/>
  <c r="D20" i="7"/>
  <c r="O19" i="7"/>
  <c r="F19" i="7"/>
  <c r="G19" i="7" s="1"/>
  <c r="D19" i="7"/>
  <c r="F18" i="7"/>
  <c r="F17" i="7"/>
  <c r="G17" i="7" s="1"/>
  <c r="D17" i="7"/>
  <c r="M16" i="7"/>
  <c r="F16" i="7"/>
  <c r="F15" i="7"/>
  <c r="F14" i="7"/>
  <c r="F13" i="7"/>
  <c r="F12" i="7"/>
  <c r="G12" i="7" s="1"/>
  <c r="D12" i="7"/>
  <c r="F11" i="7"/>
  <c r="G11" i="7" s="1"/>
  <c r="D11" i="7"/>
  <c r="F10" i="7"/>
  <c r="F9" i="7"/>
  <c r="G9" i="7" s="1"/>
  <c r="D9" i="7"/>
  <c r="M8" i="7"/>
  <c r="F8" i="7"/>
  <c r="G8" i="7" s="1"/>
  <c r="D8" i="7"/>
  <c r="F7" i="7"/>
  <c r="O6" i="7"/>
  <c r="F6" i="7"/>
  <c r="G6" i="7" s="1"/>
  <c r="D6" i="7"/>
  <c r="J2" i="7"/>
  <c r="A2" i="7"/>
  <c r="D40" i="7" s="1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94" i="6"/>
  <c r="J94" i="6"/>
  <c r="K93" i="6"/>
  <c r="J93" i="6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K68" i="6"/>
  <c r="J68" i="6"/>
  <c r="K67" i="6"/>
  <c r="J67" i="6"/>
  <c r="K66" i="6"/>
  <c r="J66" i="6"/>
  <c r="K65" i="6"/>
  <c r="J65" i="6"/>
  <c r="K64" i="6"/>
  <c r="J64" i="6"/>
  <c r="K63" i="6"/>
  <c r="J63" i="6"/>
  <c r="K62" i="6"/>
  <c r="J62" i="6"/>
  <c r="K61" i="6"/>
  <c r="J61" i="6"/>
  <c r="K60" i="6"/>
  <c r="J60" i="6"/>
  <c r="K59" i="6"/>
  <c r="J59" i="6"/>
  <c r="K58" i="6"/>
  <c r="J58" i="6"/>
  <c r="K57" i="6"/>
  <c r="J57" i="6"/>
  <c r="K56" i="6"/>
  <c r="J56" i="6"/>
  <c r="K44" i="6"/>
  <c r="J44" i="6"/>
  <c r="K43" i="6"/>
  <c r="J43" i="6"/>
  <c r="K42" i="6"/>
  <c r="J42" i="6"/>
  <c r="K41" i="6"/>
  <c r="J41" i="6"/>
  <c r="K40" i="6"/>
  <c r="J40" i="6"/>
  <c r="K39" i="6"/>
  <c r="J39" i="6"/>
  <c r="K38" i="6"/>
  <c r="J38" i="6"/>
  <c r="K37" i="6"/>
  <c r="J37" i="6"/>
  <c r="K36" i="6"/>
  <c r="J36" i="6"/>
  <c r="K35" i="6"/>
  <c r="J35" i="6"/>
  <c r="K34" i="6"/>
  <c r="J34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K26" i="6"/>
  <c r="J26" i="6"/>
  <c r="K25" i="6"/>
  <c r="J25" i="6"/>
  <c r="K24" i="6"/>
  <c r="J24" i="6"/>
  <c r="K23" i="6"/>
  <c r="J23" i="6"/>
  <c r="K22" i="6"/>
  <c r="J22" i="6"/>
  <c r="K21" i="6"/>
  <c r="J21" i="6"/>
  <c r="K20" i="6"/>
  <c r="J20" i="6"/>
  <c r="K19" i="6"/>
  <c r="J19" i="6"/>
  <c r="K18" i="6"/>
  <c r="J18" i="6"/>
  <c r="K17" i="6"/>
  <c r="J17" i="6"/>
  <c r="K16" i="6"/>
  <c r="J16" i="6"/>
  <c r="K15" i="6"/>
  <c r="J15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K7" i="6"/>
  <c r="J7" i="6"/>
  <c r="K6" i="6"/>
  <c r="J6" i="6"/>
  <c r="K5" i="6"/>
  <c r="J5" i="6"/>
  <c r="X46" i="5" l="1"/>
  <c r="X48" i="5" s="1"/>
  <c r="P8" i="7"/>
  <c r="P32" i="7"/>
  <c r="O24" i="7"/>
  <c r="P24" i="7" s="1"/>
  <c r="O31" i="7"/>
  <c r="O11" i="7"/>
  <c r="O36" i="7"/>
  <c r="O43" i="7"/>
  <c r="O9" i="7"/>
  <c r="O20" i="7"/>
  <c r="O27" i="7"/>
  <c r="O41" i="7"/>
  <c r="O16" i="7"/>
  <c r="P16" i="7" s="1"/>
  <c r="O25" i="7"/>
  <c r="O14" i="7"/>
  <c r="O44" i="7"/>
  <c r="P40" i="7"/>
  <c r="G43" i="7"/>
  <c r="G40" i="7"/>
  <c r="G26" i="7"/>
  <c r="G24" i="7"/>
  <c r="G18" i="7"/>
  <c r="G34" i="7"/>
  <c r="G42" i="7"/>
  <c r="M14" i="7"/>
  <c r="M22" i="7"/>
  <c r="P22" i="7" s="1"/>
  <c r="D25" i="7"/>
  <c r="G25" i="7" s="1"/>
  <c r="M30" i="7"/>
  <c r="P30" i="7" s="1"/>
  <c r="D33" i="7"/>
  <c r="G33" i="7" s="1"/>
  <c r="M38" i="7"/>
  <c r="P38" i="7" s="1"/>
  <c r="D41" i="7"/>
  <c r="G41" i="7" s="1"/>
  <c r="M7" i="7"/>
  <c r="P7" i="7" s="1"/>
  <c r="D10" i="7"/>
  <c r="G10" i="7" s="1"/>
  <c r="M15" i="7"/>
  <c r="P15" i="7" s="1"/>
  <c r="D18" i="7"/>
  <c r="M23" i="7"/>
  <c r="P23" i="7" s="1"/>
  <c r="D26" i="7"/>
  <c r="M31" i="7"/>
  <c r="P31" i="7" s="1"/>
  <c r="D34" i="7"/>
  <c r="M39" i="7"/>
  <c r="P39" i="7" s="1"/>
  <c r="D42" i="7"/>
  <c r="M25" i="7"/>
  <c r="P25" i="7" s="1"/>
  <c r="M33" i="7"/>
  <c r="P33" i="7" s="1"/>
  <c r="D36" i="7"/>
  <c r="G36" i="7" s="1"/>
  <c r="M41" i="7"/>
  <c r="P41" i="7" s="1"/>
  <c r="D44" i="7"/>
  <c r="G44" i="7" s="1"/>
  <c r="M6" i="7"/>
  <c r="P6" i="7" s="1"/>
  <c r="M9" i="7"/>
  <c r="M18" i="7"/>
  <c r="P18" i="7" s="1"/>
  <c r="D21" i="7"/>
  <c r="G21" i="7" s="1"/>
  <c r="M26" i="7"/>
  <c r="P26" i="7" s="1"/>
  <c r="D29" i="7"/>
  <c r="G29" i="7" s="1"/>
  <c r="M34" i="7"/>
  <c r="P34" i="7" s="1"/>
  <c r="D37" i="7"/>
  <c r="G37" i="7" s="1"/>
  <c r="M42" i="7"/>
  <c r="P42" i="7" s="1"/>
  <c r="M17" i="7"/>
  <c r="P17" i="7" s="1"/>
  <c r="M10" i="7"/>
  <c r="P10" i="7" s="1"/>
  <c r="D13" i="7"/>
  <c r="G13" i="7" s="1"/>
  <c r="M11" i="7"/>
  <c r="P11" i="7" s="1"/>
  <c r="D14" i="7"/>
  <c r="G14" i="7" s="1"/>
  <c r="M19" i="7"/>
  <c r="P19" i="7" s="1"/>
  <c r="D22" i="7"/>
  <c r="G22" i="7" s="1"/>
  <c r="M27" i="7"/>
  <c r="D30" i="7"/>
  <c r="G30" i="7" s="1"/>
  <c r="M35" i="7"/>
  <c r="P35" i="7" s="1"/>
  <c r="D38" i="7"/>
  <c r="G38" i="7" s="1"/>
  <c r="M43" i="7"/>
  <c r="M44" i="7" s="1"/>
  <c r="D7" i="7"/>
  <c r="G7" i="7" s="1"/>
  <c r="M12" i="7"/>
  <c r="P12" i="7" s="1"/>
  <c r="D15" i="7"/>
  <c r="G15" i="7" s="1"/>
  <c r="M20" i="7"/>
  <c r="D23" i="7"/>
  <c r="G23" i="7" s="1"/>
  <c r="M28" i="7"/>
  <c r="P28" i="7" s="1"/>
  <c r="D31" i="7"/>
  <c r="G31" i="7" s="1"/>
  <c r="M36" i="7"/>
  <c r="D39" i="7"/>
  <c r="G39" i="7" s="1"/>
  <c r="M13" i="7"/>
  <c r="P13" i="7" s="1"/>
  <c r="D16" i="7"/>
  <c r="G16" i="7" s="1"/>
  <c r="M21" i="7"/>
  <c r="P21" i="7" s="1"/>
  <c r="D24" i="7"/>
  <c r="M29" i="7"/>
  <c r="P29" i="7" s="1"/>
  <c r="D32" i="7"/>
  <c r="G32" i="7" s="1"/>
  <c r="M37" i="7"/>
  <c r="P37" i="7" s="1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6" i="5"/>
  <c r="P36" i="7" l="1"/>
  <c r="P14" i="7"/>
  <c r="P9" i="7"/>
  <c r="P44" i="7"/>
  <c r="P27" i="7"/>
  <c r="P20" i="7"/>
  <c r="G45" i="7"/>
  <c r="G47" i="7" s="1"/>
  <c r="P43" i="7"/>
  <c r="J2" i="5"/>
  <c r="A2" i="5"/>
  <c r="D37" i="5" s="1"/>
  <c r="P46" i="7" l="1"/>
  <c r="P48" i="7" s="1"/>
  <c r="M21" i="5"/>
  <c r="D10" i="5"/>
  <c r="G10" i="5" s="1"/>
  <c r="D6" i="5"/>
  <c r="D8" i="5"/>
  <c r="D12" i="5"/>
  <c r="G12" i="5" s="1"/>
  <c r="M19" i="5"/>
  <c r="M7" i="5"/>
  <c r="M10" i="5"/>
  <c r="M9" i="5"/>
  <c r="D18" i="5"/>
  <c r="G18" i="5" s="1"/>
  <c r="M11" i="5"/>
  <c r="D14" i="5"/>
  <c r="G14" i="5" s="1"/>
  <c r="M16" i="5"/>
  <c r="P16" i="5" s="1"/>
  <c r="D26" i="5"/>
  <c r="D36" i="5"/>
  <c r="M42" i="5"/>
  <c r="M41" i="5"/>
  <c r="M40" i="5"/>
  <c r="M39" i="5"/>
  <c r="M38" i="5"/>
  <c r="M37" i="5"/>
  <c r="P37" i="5" s="1"/>
  <c r="M36" i="5"/>
  <c r="P36" i="5" s="1"/>
  <c r="M35" i="5"/>
  <c r="M34" i="5"/>
  <c r="M33" i="5"/>
  <c r="M32" i="5"/>
  <c r="P32" i="5" s="1"/>
  <c r="M31" i="5"/>
  <c r="M30" i="5"/>
  <c r="P30" i="5" s="1"/>
  <c r="M29" i="5"/>
  <c r="M28" i="5"/>
  <c r="M27" i="5"/>
  <c r="M26" i="5"/>
  <c r="P26" i="5" s="1"/>
  <c r="M25" i="5"/>
  <c r="M43" i="5"/>
  <c r="M24" i="5"/>
  <c r="M23" i="5"/>
  <c r="P23" i="5" s="1"/>
  <c r="M22" i="5"/>
  <c r="M20" i="5"/>
  <c r="P20" i="5" s="1"/>
  <c r="M18" i="5"/>
  <c r="M14" i="5"/>
  <c r="M12" i="5"/>
  <c r="M15" i="5"/>
  <c r="D35" i="5"/>
  <c r="M13" i="5"/>
  <c r="P13" i="5" s="1"/>
  <c r="M17" i="5"/>
  <c r="P17" i="5" s="1"/>
  <c r="D43" i="5"/>
  <c r="G43" i="5" s="1"/>
  <c r="D38" i="5"/>
  <c r="G38" i="5" s="1"/>
  <c r="D33" i="5"/>
  <c r="D21" i="5"/>
  <c r="D19" i="5"/>
  <c r="D17" i="5"/>
  <c r="G17" i="5" s="1"/>
  <c r="D15" i="5"/>
  <c r="G15" i="5" s="1"/>
  <c r="D39" i="5"/>
  <c r="G39" i="5" s="1"/>
  <c r="D23" i="5"/>
  <c r="G23" i="5" s="1"/>
  <c r="D34" i="5"/>
  <c r="G34" i="5" s="1"/>
  <c r="D31" i="5"/>
  <c r="D27" i="5"/>
  <c r="D41" i="5"/>
  <c r="G41" i="5" s="1"/>
  <c r="D32" i="5"/>
  <c r="G32" i="5" s="1"/>
  <c r="D29" i="5"/>
  <c r="G29" i="5" s="1"/>
  <c r="D13" i="5"/>
  <c r="D11" i="5"/>
  <c r="D9" i="5"/>
  <c r="G9" i="5" s="1"/>
  <c r="D7" i="5"/>
  <c r="G7" i="5" s="1"/>
  <c r="D30" i="5"/>
  <c r="G30" i="5" s="1"/>
  <c r="D24" i="5"/>
  <c r="D42" i="5"/>
  <c r="G42" i="5" s="1"/>
  <c r="D28" i="5"/>
  <c r="G28" i="5" s="1"/>
  <c r="D25" i="5"/>
  <c r="G25" i="5" s="1"/>
  <c r="D22" i="5"/>
  <c r="G22" i="5" s="1"/>
  <c r="D20" i="5"/>
  <c r="D16" i="5"/>
  <c r="D40" i="5"/>
  <c r="M6" i="5"/>
  <c r="M8" i="5"/>
  <c r="G37" i="5"/>
  <c r="P21" i="5" l="1"/>
  <c r="G6" i="5"/>
  <c r="P11" i="5"/>
  <c r="G8" i="5"/>
  <c r="P19" i="5"/>
  <c r="P14" i="5"/>
  <c r="P10" i="5"/>
  <c r="G31" i="5"/>
  <c r="P18" i="5"/>
  <c r="P9" i="5"/>
  <c r="P27" i="5"/>
  <c r="G13" i="5"/>
  <c r="P8" i="5"/>
  <c r="P34" i="5"/>
  <c r="G26" i="5"/>
  <c r="P35" i="5"/>
  <c r="P12" i="5"/>
  <c r="G36" i="5"/>
  <c r="G33" i="5"/>
  <c r="P28" i="5"/>
  <c r="P7" i="5"/>
  <c r="P24" i="5"/>
  <c r="G24" i="5"/>
  <c r="P15" i="5"/>
  <c r="G11" i="5"/>
  <c r="P29" i="5"/>
  <c r="G35" i="5"/>
  <c r="G19" i="5"/>
  <c r="M44" i="5"/>
  <c r="P43" i="5"/>
  <c r="G27" i="5"/>
  <c r="P41" i="5"/>
  <c r="P25" i="5"/>
  <c r="P42" i="5"/>
  <c r="G21" i="5"/>
  <c r="P33" i="5"/>
  <c r="G40" i="5"/>
  <c r="P6" i="5"/>
  <c r="P40" i="5"/>
  <c r="D44" i="5"/>
  <c r="P38" i="5"/>
  <c r="P22" i="5"/>
  <c r="G20" i="5"/>
  <c r="P39" i="5"/>
  <c r="P31" i="5"/>
  <c r="G16" i="5"/>
  <c r="P44" i="5" l="1"/>
  <c r="G44" i="5"/>
  <c r="G45" i="5" s="1"/>
  <c r="G47" i="5" s="1"/>
  <c r="P46" i="5" l="1"/>
  <c r="P48" i="5" s="1"/>
</calcChain>
</file>

<file path=xl/sharedStrings.xml><?xml version="1.0" encoding="utf-8"?>
<sst xmlns="http://schemas.openxmlformats.org/spreadsheetml/2006/main" count="347" uniqueCount="146">
  <si>
    <t>Ethanol</t>
  </si>
  <si>
    <t>Z_Ethanol</t>
  </si>
  <si>
    <t>D_z</t>
  </si>
  <si>
    <t>G(z)</t>
  </si>
  <si>
    <t>exp(bΔG(z-z0))/D_Z</t>
  </si>
  <si>
    <t>Δz*exp(bΔG(z-z0))/D_Z</t>
  </si>
  <si>
    <t>Δz (cm)</t>
  </si>
  <si>
    <t>Caffeine</t>
  </si>
  <si>
    <t>Temozolomide</t>
  </si>
  <si>
    <t xml:space="preserve">ns/s to cm/s </t>
  </si>
  <si>
    <t>ns to cm</t>
  </si>
  <si>
    <t>1/P</t>
  </si>
  <si>
    <t>P</t>
  </si>
  <si>
    <t>Z</t>
  </si>
  <si>
    <t>~                           </t>
  </si>
  <si>
    <t>~                          </t>
  </si>
  <si>
    <t># a_param b_param c_param</t>
  </si>
  <si>
    <t>1.27983675e+04 4.06536133e+07 5.51280723e-01</t>
  </si>
  <si>
    <t>1.29762626e+04 5.64162947e+06 6.19950915e-01</t>
  </si>
  <si>
    <t>1.36988353e+04 1.53758095e+03 1.30341698e+00</t>
  </si>
  <si>
    <t>1.37763894e+04 3.79757698e+01 2.62892747e+00</t>
  </si>
  <si>
    <t>1.37837159e+04 1.75635355e+01 3.33129063e+00</t>
  </si>
  <si>
    <t>1.19608218e+04 1.04575431e+01 3.53253419e+00</t>
  </si>
  <si>
    <t>1.29473366e+04 8.34582253e+00 4.34716142e+00</t>
  </si>
  <si>
    <t>1.26798560e+04 6.34215214e+00 5.04274753e+00</t>
  </si>
  <si>
    <t>1.59635942e+04 4.45452919e+00 8.18467045e+00</t>
  </si>
  <si>
    <t>1.38229734e+04 6.31565933e+00 5.62589802e+00</t>
  </si>
  <si>
    <t>1.29092637e+04 8.74401580e+00 4.32111833e+00</t>
  </si>
  <si>
    <t>1.37030937e+04 5.73926092e+00 5.68906665e+00</t>
  </si>
  <si>
    <t>1.37576372e+04 5.55132571e+00 5.84538710e+00</t>
  </si>
  <si>
    <t>1.42188479e+04 5.90071764e+00 5.82256548e+00</t>
  </si>
  <si>
    <t>1.31976942e+04 6.44083130e+00 5.52932224e+00</t>
  </si>
  <si>
    <t>1.38428693e+04 4.37488026e+00 8.87631546e+00</t>
  </si>
  <si>
    <t>1.29416611e+04 6.25102191e+00 6.25976169e+00</t>
  </si>
  <si>
    <t>1.32322450e+04 7.12947978e+00 6.28529190e+00</t>
  </si>
  <si>
    <t>1.30856965e+04 8.40459123e+00 5.31511565e+00</t>
  </si>
  <si>
    <t>1.33103328e+04 9.35559008e+00 4.94362063e+00</t>
  </si>
  <si>
    <t>1.33989794e+04 7.98168033e+00 5.60293769e+00</t>
  </si>
  <si>
    <t>1.31018870e+04 8.01000764e+00 5.49062855e+00</t>
  </si>
  <si>
    <t>1.27297065e+04 6.89774824e+00 6.06080125e+00</t>
  </si>
  <si>
    <t>1.29288542e+04 6.24902897e+00 6.08819788e+00</t>
  </si>
  <si>
    <t>1.53645884e+04 5.22258623e+00 6.95249597e+00</t>
  </si>
  <si>
    <t>1.36603959e+04 6.33124915e+00 5.42993034e+00</t>
  </si>
  <si>
    <t>1.39679827e+04 5.88894945e+00 5.77079182e+00</t>
  </si>
  <si>
    <t>1.47823066e+04 5.18134670e+00 6.71998645e+00</t>
  </si>
  <si>
    <t>1.01440286e+04 6.87764181e+00 4.13976042e+00</t>
  </si>
  <si>
    <t>1.35116130e+04 7.64789031e+00 4.78492683e+00</t>
  </si>
  <si>
    <t>1.38241137e+04 6.16354846e+00 5.47410678e+00</t>
  </si>
  <si>
    <t>1.44115495e+04 7.17543060e+00 5.29610246e+00</t>
  </si>
  <si>
    <t>1.43893384e+04 7.19604162e+00 5.41146877e+00</t>
  </si>
  <si>
    <t>1.38618245e+04 1.45826932e+01 3.64367272e+00</t>
  </si>
  <si>
    <t>1.37651192e+04 4.65821247e+01 2.49709432e+00</t>
  </si>
  <si>
    <t>1.36562236e+04 1.30639885e+03 1.33418321e+00</t>
  </si>
  <si>
    <t>1.29576932e+04 8.75471328e+06 6.03143421e-01</t>
  </si>
  <si>
    <t>1.28135700e+04 3.60607253e+07 5.54933827e-01</t>
  </si>
  <si>
    <t>1.27855680e+04 5.36039943e+07 5.42790162e-01</t>
  </si>
  <si>
    <t>1.27584013e+04 5.44793908e+07 5.42261780e-01</t>
  </si>
  <si>
    <t>1.31403981e+04 5.37380703e+05 7.27328866e-01</t>
  </si>
  <si>
    <t>1.34573076e+04 1.09317531e+04 1.02738712e+00</t>
  </si>
  <si>
    <t>1.37139175e+04 4.54155341e+02 1.55706341e+00</t>
  </si>
  <si>
    <t>1.37519049e+04 4.92941822e+01 2.44095814e+00</t>
  </si>
  <si>
    <t>1.40842573e+04 1.59170921e+01 3.46381941e+00</t>
  </si>
  <si>
    <t>1.44851082e+04 7.40514440e+00 5.05444544e+00</t>
  </si>
  <si>
    <t>1.48226961e+04 6.03784822e+00 5.66237708e+00</t>
  </si>
  <si>
    <t>1.30862892e+04 5.29852046e+00 5.67176817e+00</t>
  </si>
  <si>
    <t>1.47539762e+04 6.23241969e+00 5.79891528e+00</t>
  </si>
  <si>
    <t>1.31861370e+04 6.57214219e+00 4.83180007e+00</t>
  </si>
  <si>
    <t>1.40079188e+04 6.26727539e+00 5.35746285e+00</t>
  </si>
  <si>
    <t>1.27348291e+04 7.26698775e+00 4.77341396e+00</t>
  </si>
  <si>
    <t>1.44488883e+04 4.86599785e+00 7.14340937e+00</t>
  </si>
  <si>
    <t>1.31605944e+04 5.84170625e+00 5.77860110e+00</t>
  </si>
  <si>
    <t>1.41340739e+04 4.73402423e+00 7.36097345e+00</t>
  </si>
  <si>
    <t>1.27118982e+04 6.42706535e+00 5.79182633e+00</t>
  </si>
  <si>
    <t>1.37801824e+04 4.23717482e+00 1.13726649e+01</t>
  </si>
  <si>
    <t>1.27765094e+04 7.99708489e+00 5.27297445e+00</t>
  </si>
  <si>
    <t>1.33132542e+04 7.40106494e+00 5.57249953e+00</t>
  </si>
  <si>
    <t>1.34099169e+04 8.45881199e+00 5.15446910e+00</t>
  </si>
  <si>
    <t>1.31724246e+04 8.46119352e+00 5.05647936e+00</t>
  </si>
  <si>
    <t>1.30600952e+04 6.82865542e+00 5.83365065e+00</t>
  </si>
  <si>
    <t>1.34529882e+04 5.39180408e+00 7.61770965e+00</t>
  </si>
  <si>
    <t>1.35527139e+04 5.52457439e+00 6.43130603e+00</t>
  </si>
  <si>
    <t>1.40130002e+04 6.23555237e+00 5.90460229e+00</t>
  </si>
  <si>
    <t>1.47368392e+04 5.81577838e+00 6.27537921e+00</t>
  </si>
  <si>
    <t>1.29489300e+04 7.02599348e+00 4.99641610e+00</t>
  </si>
  <si>
    <t>1.16060984e+04 8.23804087e+00 4.03271168e+00</t>
  </si>
  <si>
    <t>1.48712502e+04 5.68682767e+00 5.90379008e+00</t>
  </si>
  <si>
    <t>1.37890341e+04 5.59666506e+00 5.96960658e+00</t>
  </si>
  <si>
    <t>1.27467653e+04 6.35538283e+00 4.81815783e+00</t>
  </si>
  <si>
    <t>1.44645200e+04 5.64517495e+00 5.98442754e+00</t>
  </si>
  <si>
    <t>1.47161004e+04 5.98206547e+00 5.99732831e+00</t>
  </si>
  <si>
    <t>1.40876098e+04 1.19745391e+01 3.89492764e+00</t>
  </si>
  <si>
    <t>1.38257054e+04 4.24187315e+01 2.54495070e+00</t>
  </si>
  <si>
    <t>1.37262629e+04 1.20959391e+02 1.98770917e+00</t>
  </si>
  <si>
    <t>1.36137045e+04 1.63838151e+03 1.28839593e+00</t>
  </si>
  <si>
    <t>1.32285964e+04 1.07816630e+05 8.27148334e-01</t>
  </si>
  <si>
    <t>1.30453042e+04 1.26190689e+06 6.83846841e-01</t>
  </si>
  <si>
    <t>1.28112121e+04 1.97264149e+09 4.89543537e-01</t>
  </si>
  <si>
    <t>1.28061019e+04 1.25225530e+09 4.99907727e-01</t>
  </si>
  <si>
    <t>1.28276049e+04 5.24125609e+08 5.20997862e-01</t>
  </si>
  <si>
    <t>1.29614424e+04 4.12941255e+01 2.90789037e+00</t>
  </si>
  <si>
    <t>1.29211280e+04 2.39934747e+01 3.39036656e+00</t>
  </si>
  <si>
    <t>1.34676047e+04 8.85642115e+00 5.53646039e+00</t>
  </si>
  <si>
    <t>1.29941594e+04 8.42492381e+00 5.32593771e+00</t>
  </si>
  <si>
    <t>1.28448284e+04 9.84400945e+00 4.80771483e+00</t>
  </si>
  <si>
    <t>1.30053821e+04 6.04297687e+00 6.66625538e+00</t>
  </si>
  <si>
    <t>1.29913640e+04 7.43098240e+00 5.87573221e+00</t>
  </si>
  <si>
    <t>1.29558051e+04 7.45988027e+00 5.76970781e+00</t>
  </si>
  <si>
    <t>1.32071775e+04 6.54026105e+00 6.91659397e+00</t>
  </si>
  <si>
    <t>1.21188590e+04 6.49758489e+00 5.55229826e+00</t>
  </si>
  <si>
    <t>1.27005578e+04 5.96808337e+00 6.98145010e+00</t>
  </si>
  <si>
    <t>1.29431747e+04 5.68297178e+00 9.20645620e+00</t>
  </si>
  <si>
    <t>1.26394592e+04 6.51359100e+00 7.25302486e+00</t>
  </si>
  <si>
    <t>1.26781003e+04 8.17543503e+00 6.69461317e+00</t>
  </si>
  <si>
    <t>1.26474550e+04 9.74945107e+00 6.08829232e+00</t>
  </si>
  <si>
    <t>1.26969414e+04 9.92598673e+00 6.13208313e+00</t>
  </si>
  <si>
    <t>1.26417218e+04 1.01823906e+01 6.02443110e+00</t>
  </si>
  <si>
    <t>1.27506448e+04 8.64098458e+00 6.69874698e+00</t>
  </si>
  <si>
    <t>1.26585298e+04 8.70200080e+00 6.29834232e+00</t>
  </si>
  <si>
    <t>1.27173211e+04 4.90349304e+00 8.68189872e+00</t>
  </si>
  <si>
    <t>1.21799085e+04 7.09350452e+00 5.81648275e+00</t>
  </si>
  <si>
    <t>1.20583235e+04 6.83612953e+00 5.34703365e+00</t>
  </si>
  <si>
    <t>1.29359351e+04 7.18468912e+00 5.86066466e+00</t>
  </si>
  <si>
    <t>1.30382601e+04 6.70142985e+00 6.27500333e+00</t>
  </si>
  <si>
    <t>1.29168089e+04 7.24129452e+00 5.94347954e+00</t>
  </si>
  <si>
    <t>1.33292865e+04 5.83587035e+00 7.36784474e+00</t>
  </si>
  <si>
    <t>1.28534891e+04 9.06463607e+00 5.02137767e+00</t>
  </si>
  <si>
    <t>1.30816009e+04 1.00474883e+01 4.91007613e+00</t>
  </si>
  <si>
    <t>1.30167974e+04 1.72375182e+01 3.80446578e+00</t>
  </si>
  <si>
    <t>1.29573609e+04 2.86028228e+01 3.24756777e+00</t>
  </si>
  <si>
    <t>1.30292690e+04 1.38459135e+02 2.16958573e+00</t>
  </si>
  <si>
    <t>1.28359681e+04 1.04020435e+09 5.04183983e-01</t>
  </si>
  <si>
    <t>1.28305855e+04 1.78605019e+09 4.91703932e-01</t>
  </si>
  <si>
    <t>1.28154410e+04 2.37857967e+09 4.85423755e-01</t>
  </si>
  <si>
    <t>1.28207431e+04 2.29162971e+09 4.86257013e-01</t>
  </si>
  <si>
    <t>1.28201530e+04 2.38181878e+09 4.85432771e-01</t>
  </si>
  <si>
    <t>500 ns /window</t>
  </si>
  <si>
    <t>Avg PMF</t>
  </si>
  <si>
    <t>StDev</t>
  </si>
  <si>
    <t>350 ns</t>
  </si>
  <si>
    <t>400 ns</t>
  </si>
  <si>
    <t>450 ns</t>
  </si>
  <si>
    <t>500 ns</t>
  </si>
  <si>
    <t>P_App</t>
  </si>
  <si>
    <t>P_sim_symm</t>
  </si>
  <si>
    <t>P_sim_asymm</t>
  </si>
  <si>
    <t>P_sim_asymm/P_app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</si>
</sst>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13">
    <font>
      <sz val="12"/>
      <color indexed="8"/>
      <name val="Calibri"/>
    </font>
    <font>
      <sz val="12"/>
      <color indexed="10"/>
      <name val="Calibri"/>
      <family val="2"/>
    </font>
    <font>
      <b/>
      <sz val="17"/>
      <color indexed="8"/>
      <name val="Calibri"/>
      <family val="2"/>
    </font>
    <font>
      <sz val="12"/>
      <color indexed="8"/>
      <name val="Calibri"/>
      <family val="2"/>
    </font>
    <font>
      <sz val="11"/>
      <color rgb="FF000000"/>
      <name val="Menlo"/>
      <family val="2"/>
    </font>
    <font>
      <sz val="11"/>
      <color rgb="FF000000"/>
      <name val="Arial"/>
      <family val="2"/>
    </font>
    <font>
      <sz val="11"/>
      <color indexed="8"/>
      <name val="Helvetica Neue"/>
      <family val="2"/>
      <scheme val="major"/>
    </font>
    <font>
      <sz val="11"/>
      <color rgb="FF000000"/>
      <name val="Helvetica Neue"/>
      <family val="2"/>
      <scheme val="major"/>
    </font>
    <font>
      <sz val="11"/>
      <color rgb="FF4A00FF"/>
      <name val="Helvetica Neue"/>
      <family val="2"/>
      <scheme val="major"/>
    </font>
    <font>
      <sz val="11"/>
      <color theme="1"/>
      <name val="Helvetica Neue"/>
      <family val="2"/>
      <scheme val="minor"/>
    </font>
    <font>
      <sz val="11"/>
      <color theme="1"/>
      <name val="Arial"/>
      <family val="2"/>
    </font>
    <font>
      <sz val="11"/>
      <color indexed="8"/>
      <name val="Menlo Regular"/>
    </font>
    <font>
      <sz val="10.5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61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9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49" fontId="0" fillId="3" borderId="8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0" fontId="0" fillId="0" borderId="9" xfId="0" applyBorder="1"/>
    <xf numFmtId="0" fontId="0" fillId="0" borderId="5" xfId="0" applyBorder="1"/>
    <xf numFmtId="0" fontId="1" fillId="2" borderId="10" xfId="0" applyNumberFormat="1" applyFont="1" applyFill="1" applyBorder="1" applyAlignment="1">
      <alignment horizontal="center"/>
    </xf>
    <xf numFmtId="0" fontId="1" fillId="2" borderId="8" xfId="0" applyNumberFormat="1" applyFont="1" applyFill="1" applyBorder="1" applyAlignment="1">
      <alignment horizontal="center"/>
    </xf>
    <xf numFmtId="49" fontId="0" fillId="0" borderId="7" xfId="0" applyNumberFormat="1" applyBorder="1"/>
    <xf numFmtId="49" fontId="2" fillId="3" borderId="10" xfId="0" applyNumberFormat="1" applyFont="1" applyFill="1" applyBorder="1"/>
    <xf numFmtId="49" fontId="0" fillId="4" borderId="8" xfId="0" applyNumberFormat="1" applyFill="1" applyBorder="1" applyAlignment="1">
      <alignment horizontal="center"/>
    </xf>
    <xf numFmtId="49" fontId="0" fillId="5" borderId="8" xfId="0" applyNumberFormat="1" applyFill="1" applyBorder="1" applyAlignment="1">
      <alignment horizontal="center"/>
    </xf>
    <xf numFmtId="49" fontId="2" fillId="3" borderId="8" xfId="0" applyNumberFormat="1" applyFont="1" applyFill="1" applyBorder="1"/>
    <xf numFmtId="11" fontId="0" fillId="0" borderId="3" xfId="0" applyNumberFormat="1" applyBorder="1"/>
    <xf numFmtId="49" fontId="0" fillId="3" borderId="11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4" fillId="0" borderId="0" xfId="0" applyFont="1"/>
    <xf numFmtId="0" fontId="6" fillId="0" borderId="6" xfId="0" applyNumberFormat="1" applyFont="1" applyBorder="1"/>
    <xf numFmtId="11" fontId="7" fillId="0" borderId="0" xfId="0" applyNumberFormat="1" applyFont="1" applyFill="1"/>
    <xf numFmtId="0" fontId="6" fillId="0" borderId="6" xfId="0" applyNumberFormat="1" applyFont="1" applyFill="1" applyBorder="1"/>
    <xf numFmtId="0" fontId="6" fillId="0" borderId="1" xfId="0" applyNumberFormat="1" applyFont="1" applyBorder="1"/>
    <xf numFmtId="0" fontId="6" fillId="0" borderId="1" xfId="0" applyNumberFormat="1" applyFont="1" applyFill="1" applyBorder="1"/>
    <xf numFmtId="11" fontId="6" fillId="0" borderId="6" xfId="0" applyNumberFormat="1" applyFont="1" applyFill="1" applyBorder="1"/>
    <xf numFmtId="0" fontId="6" fillId="0" borderId="1" xfId="0" applyFont="1" applyFill="1" applyBorder="1"/>
    <xf numFmtId="11" fontId="6" fillId="0" borderId="1" xfId="0" applyNumberFormat="1" applyFont="1" applyFill="1" applyBorder="1"/>
    <xf numFmtId="0" fontId="6" fillId="0" borderId="1" xfId="0" applyFont="1" applyBorder="1"/>
    <xf numFmtId="0" fontId="8" fillId="0" borderId="0" xfId="0" applyFont="1" applyFill="1"/>
    <xf numFmtId="11" fontId="6" fillId="0" borderId="7" xfId="0" applyNumberFormat="1" applyFont="1" applyFill="1" applyBorder="1"/>
    <xf numFmtId="0" fontId="6" fillId="0" borderId="6" xfId="0" applyFont="1" applyBorder="1"/>
    <xf numFmtId="0" fontId="6" fillId="0" borderId="6" xfId="0" applyFont="1" applyFill="1" applyBorder="1"/>
    <xf numFmtId="0" fontId="6" fillId="0" borderId="2" xfId="0" applyFont="1" applyFill="1" applyBorder="1"/>
    <xf numFmtId="49" fontId="6" fillId="0" borderId="8" xfId="0" applyNumberFormat="1" applyFont="1" applyFill="1" applyBorder="1" applyAlignment="1">
      <alignment horizontal="center"/>
    </xf>
    <xf numFmtId="0" fontId="6" fillId="0" borderId="2" xfId="0" applyFont="1" applyBorder="1"/>
    <xf numFmtId="0" fontId="6" fillId="0" borderId="4" xfId="0" applyFont="1" applyFill="1" applyBorder="1"/>
    <xf numFmtId="164" fontId="6" fillId="0" borderId="8" xfId="0" applyNumberFormat="1" applyFont="1" applyFill="1" applyBorder="1" applyAlignment="1">
      <alignment horizontal="center"/>
    </xf>
    <xf numFmtId="0" fontId="6" fillId="0" borderId="7" xfId="0" applyFont="1" applyFill="1" applyBorder="1"/>
    <xf numFmtId="11" fontId="6" fillId="0" borderId="3" xfId="0" applyNumberFormat="1" applyFont="1" applyFill="1" applyBorder="1"/>
    <xf numFmtId="11" fontId="6" fillId="0" borderId="8" xfId="0" applyNumberFormat="1" applyFont="1" applyFill="1" applyBorder="1" applyAlignment="1">
      <alignment horizontal="center"/>
    </xf>
    <xf numFmtId="0" fontId="0" fillId="6" borderId="0" xfId="0" applyFill="1"/>
    <xf numFmtId="0" fontId="9" fillId="0" borderId="0" xfId="0" applyFont="1"/>
    <xf numFmtId="0" fontId="4" fillId="7" borderId="0" xfId="0" applyFont="1" applyFill="1"/>
    <xf numFmtId="2" fontId="9" fillId="7" borderId="0" xfId="0" applyNumberFormat="1" applyFont="1" applyFill="1"/>
    <xf numFmtId="0" fontId="5" fillId="0" borderId="0" xfId="0" applyFont="1"/>
    <xf numFmtId="0" fontId="10" fillId="0" borderId="0" xfId="0" applyFont="1"/>
    <xf numFmtId="2" fontId="10" fillId="7" borderId="0" xfId="0" applyNumberFormat="1" applyFont="1" applyFill="1"/>
    <xf numFmtId="0" fontId="3" fillId="0" borderId="0" xfId="0" applyFont="1"/>
    <xf numFmtId="0" fontId="11" fillId="0" borderId="6" xfId="0" applyNumberFormat="1" applyFont="1" applyBorder="1"/>
    <xf numFmtId="0" fontId="11" fillId="0" borderId="1" xfId="0" applyNumberFormat="1" applyFont="1" applyBorder="1"/>
    <xf numFmtId="11" fontId="12" fillId="0" borderId="8" xfId="0" applyNumberFormat="1" applyFont="1" applyBorder="1" applyAlignment="1">
      <alignment horizontal="center" vertical="center" wrapText="1"/>
    </xf>
    <xf numFmtId="11" fontId="0" fillId="0" borderId="0" xfId="0" applyNumberForma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FFFF00"/>
      <rgbColor rgb="FFDADADA"/>
      <rgbColor rgb="FFD8D8D8"/>
      <rgbColor rgb="FFFF0000"/>
      <rgbColor rgb="FF8EAADB"/>
      <rgbColor rgb="FFFFD965"/>
      <rgbColor rgb="FF00B0F0"/>
      <rgbColor rgb="FFF7CAAC"/>
      <rgbColor rgb="FFB4C6E7"/>
      <rgbColor rgb="FFC5DEB5"/>
      <rgbColor rgb="FFA9CD9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C4218-CF3D-AC45-AC7B-62C881125D44}">
  <dimension ref="A1:AC102"/>
  <sheetViews>
    <sheetView showGridLines="0" topLeftCell="H1" zoomScale="63" workbookViewId="0">
      <selection activeCell="R47" sqref="R6:R47"/>
    </sheetView>
  </sheetViews>
  <sheetFormatPr baseColWidth="10" defaultColWidth="10.83203125" defaultRowHeight="16" customHeight="1"/>
  <cols>
    <col min="1" max="1" width="13.6640625" style="1" customWidth="1"/>
    <col min="2" max="3" width="10.83203125" style="1" customWidth="1"/>
    <col min="4" max="4" width="13.33203125" style="1" customWidth="1"/>
    <col min="5" max="6" width="10.83203125" style="1" customWidth="1"/>
    <col min="7" max="7" width="15.33203125" style="1" customWidth="1"/>
    <col min="8" max="8" width="10.83203125" style="1" customWidth="1"/>
    <col min="9" max="9" width="13.33203125" style="1" customWidth="1"/>
    <col min="10" max="12" width="11" style="1" customWidth="1"/>
    <col min="13" max="13" width="10.83203125" style="1" customWidth="1"/>
    <col min="14" max="14" width="12.5" style="1" customWidth="1"/>
    <col min="15" max="15" width="11.33203125" style="1" customWidth="1"/>
    <col min="16" max="16" width="17.6640625" style="1" customWidth="1"/>
    <col min="17" max="17" width="10.83203125" style="1" customWidth="1"/>
    <col min="18" max="18" width="20.5" style="1" customWidth="1"/>
    <col min="19" max="19" width="11" style="1" customWidth="1"/>
    <col min="20" max="20" width="18" style="1" customWidth="1"/>
    <col min="21" max="21" width="12.1640625" style="1" customWidth="1"/>
    <col min="22" max="22" width="10.83203125" style="1" customWidth="1"/>
    <col min="23" max="23" width="17.5" style="1" customWidth="1"/>
    <col min="24" max="24" width="25.1640625" style="1" customWidth="1"/>
    <col min="25" max="25" width="10.83203125" style="1" customWidth="1"/>
    <col min="26" max="16384" width="10.83203125" style="1"/>
  </cols>
  <sheetData>
    <row r="1" spans="1:29" ht="15.25" customHeight="1">
      <c r="A1" s="8"/>
      <c r="B1" s="2"/>
      <c r="C1" s="2"/>
      <c r="D1" s="2"/>
      <c r="E1" s="2"/>
      <c r="F1" s="2"/>
      <c r="G1" s="2"/>
      <c r="H1" s="2"/>
      <c r="I1" s="2"/>
      <c r="J1" s="8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7"/>
      <c r="Z1" s="7"/>
      <c r="AA1" s="7"/>
      <c r="AB1" s="7"/>
    </row>
    <row r="2" spans="1:29" ht="15.25" customHeight="1">
      <c r="A2" s="14">
        <f>0.0000001</f>
        <v>9.9999999999999995E-8</v>
      </c>
      <c r="B2" s="5"/>
      <c r="C2" s="2"/>
      <c r="D2" s="2"/>
      <c r="E2" s="2"/>
      <c r="F2" s="2"/>
      <c r="G2" s="2"/>
      <c r="H2" s="2"/>
      <c r="I2" s="3"/>
      <c r="J2" s="15">
        <f t="shared" ref="J2" si="0">0.0000001</f>
        <v>9.9999999999999995E-8</v>
      </c>
      <c r="K2" s="5"/>
      <c r="L2" s="2"/>
      <c r="M2" s="2"/>
      <c r="N2" s="2"/>
      <c r="O2" s="2"/>
      <c r="P2" s="2"/>
      <c r="Q2" s="2"/>
      <c r="R2" s="8"/>
      <c r="S2" s="2"/>
      <c r="T2" s="2"/>
      <c r="U2" s="2"/>
      <c r="V2" s="2"/>
      <c r="W2" s="2"/>
      <c r="X2" s="2"/>
      <c r="Y2" s="7"/>
      <c r="Z2" s="7"/>
      <c r="AA2" s="7"/>
      <c r="AB2" s="7"/>
    </row>
    <row r="3" spans="1:29" ht="15.25" customHeight="1">
      <c r="A3" s="6" t="s">
        <v>9</v>
      </c>
      <c r="B3" s="2"/>
      <c r="C3" s="2"/>
      <c r="D3" s="2"/>
      <c r="E3" s="2"/>
      <c r="F3" s="2"/>
      <c r="G3" s="2"/>
      <c r="H3" s="2"/>
      <c r="I3" s="2"/>
      <c r="J3" s="6" t="s">
        <v>9</v>
      </c>
      <c r="K3" s="2"/>
      <c r="L3" s="2"/>
      <c r="M3" s="2"/>
      <c r="N3" s="2"/>
      <c r="O3" s="2"/>
      <c r="P3" s="2"/>
      <c r="Q3" s="3"/>
      <c r="R3" s="15">
        <v>9.9999999999999995E-8</v>
      </c>
      <c r="S3" s="5"/>
      <c r="T3" s="2"/>
      <c r="U3" s="2"/>
      <c r="V3" s="2"/>
      <c r="W3" s="2"/>
      <c r="X3" s="2"/>
      <c r="Y3" s="7"/>
      <c r="Z3" s="7"/>
      <c r="AA3" s="7"/>
      <c r="AB3" s="7"/>
    </row>
    <row r="4" spans="1:29" ht="15.25" customHeight="1">
      <c r="A4" s="16" t="s">
        <v>10</v>
      </c>
      <c r="B4" s="12"/>
      <c r="C4" s="2"/>
      <c r="D4" s="2"/>
      <c r="E4" s="2"/>
      <c r="F4" s="2"/>
      <c r="G4" s="2"/>
      <c r="H4" s="2"/>
      <c r="I4" s="2"/>
      <c r="J4" s="16" t="s">
        <v>10</v>
      </c>
      <c r="K4" s="12"/>
      <c r="L4" s="2"/>
      <c r="M4" s="2"/>
      <c r="N4" s="2"/>
      <c r="O4" s="13"/>
      <c r="P4" s="12"/>
      <c r="Q4" s="2"/>
      <c r="R4" s="6" t="s">
        <v>9</v>
      </c>
      <c r="S4" s="2"/>
      <c r="T4" s="8"/>
      <c r="U4" s="8"/>
      <c r="V4" s="8"/>
      <c r="W4" s="8"/>
      <c r="X4" s="2"/>
      <c r="Y4" s="7"/>
      <c r="Z4" s="7"/>
      <c r="AA4" s="7"/>
      <c r="AB4" s="7"/>
      <c r="AC4" s="7"/>
    </row>
    <row r="5" spans="1:29" ht="23" customHeight="1">
      <c r="A5" s="17" t="s">
        <v>0</v>
      </c>
      <c r="B5" s="18" t="s">
        <v>1</v>
      </c>
      <c r="C5" s="18" t="s">
        <v>3</v>
      </c>
      <c r="D5" s="19" t="s">
        <v>6</v>
      </c>
      <c r="E5" s="18" t="s">
        <v>2</v>
      </c>
      <c r="F5" s="18" t="s">
        <v>4</v>
      </c>
      <c r="G5" s="18" t="s">
        <v>5</v>
      </c>
      <c r="H5" s="5"/>
      <c r="I5" s="3"/>
      <c r="J5" s="20" t="s">
        <v>7</v>
      </c>
      <c r="K5" s="18" t="s">
        <v>13</v>
      </c>
      <c r="L5" s="18" t="s">
        <v>3</v>
      </c>
      <c r="M5" s="19" t="s">
        <v>6</v>
      </c>
      <c r="N5" s="18" t="s">
        <v>2</v>
      </c>
      <c r="O5" s="18" t="s">
        <v>4</v>
      </c>
      <c r="P5" s="18" t="s">
        <v>5</v>
      </c>
      <c r="Q5" s="5"/>
      <c r="R5" s="20" t="s">
        <v>8</v>
      </c>
      <c r="S5" s="39" t="s">
        <v>13</v>
      </c>
      <c r="T5" s="39" t="s">
        <v>3</v>
      </c>
      <c r="U5" s="39" t="s">
        <v>6</v>
      </c>
      <c r="V5" s="39" t="s">
        <v>2</v>
      </c>
      <c r="W5" s="39" t="s">
        <v>4</v>
      </c>
      <c r="X5" s="39" t="s">
        <v>5</v>
      </c>
      <c r="Y5" s="7"/>
      <c r="Z5" s="7"/>
      <c r="AA5" s="7"/>
      <c r="AB5" s="7"/>
      <c r="AC5" s="7"/>
    </row>
    <row r="6" spans="1:29" ht="23" customHeight="1">
      <c r="A6" s="36"/>
      <c r="B6" s="25">
        <v>-3.4807000000000001</v>
      </c>
      <c r="C6" s="25">
        <v>0</v>
      </c>
      <c r="D6" s="27">
        <f t="shared" ref="D6:D43" si="1">(B7-B6)*A$2</f>
        <v>1.8870000000000029E-8</v>
      </c>
      <c r="E6" s="26">
        <v>2.0781766776426801E-4</v>
      </c>
      <c r="F6" s="30">
        <f t="shared" ref="F6:F44" si="2">EXP((ABS(C7-C$6))/(0.008314*310))/E6</f>
        <v>4832.9425654497218</v>
      </c>
      <c r="G6" s="30">
        <f t="shared" ref="G6:G44" si="3">F6*D6</f>
        <v>9.1197626210036395E-5</v>
      </c>
      <c r="H6" s="31"/>
      <c r="I6" s="31"/>
      <c r="J6" s="37"/>
      <c r="K6" s="27">
        <v>-3.6023999999999998</v>
      </c>
      <c r="L6" s="54">
        <v>0</v>
      </c>
      <c r="M6" s="27">
        <f t="shared" ref="M6:M43" si="4">(K7-K6)*J$2</f>
        <v>2.2689999999999964E-8</v>
      </c>
      <c r="N6" s="26">
        <v>8.1384227870565399E-5</v>
      </c>
      <c r="O6" s="30">
        <f t="shared" ref="O6:O44" si="5">EXP((ABS(L6-L$14))/(0.008314*310))/N6</f>
        <v>32193.873065899559</v>
      </c>
      <c r="P6" s="30">
        <f t="shared" ref="P6:P44" si="6">O6*M6</f>
        <v>7.3047897986525979E-4</v>
      </c>
      <c r="Q6" s="38"/>
      <c r="R6" s="2"/>
      <c r="S6" s="27">
        <v>-3.6450999999999998</v>
      </c>
      <c r="T6" s="27">
        <v>0</v>
      </c>
      <c r="U6" s="27">
        <f t="shared" ref="U6:U44" si="7">(S7-S6)*J$2</f>
        <v>2.0709999999999962E-8</v>
      </c>
      <c r="V6" s="26">
        <v>9.1422910661381204E-5</v>
      </c>
      <c r="W6" s="30">
        <f>EXP((ABS(T6-T$15))/(0.008314*310))/V6</f>
        <v>424567.15471939289</v>
      </c>
      <c r="X6" s="30">
        <f t="shared" ref="X6:X45" si="8">U6*W6</f>
        <v>8.7927857742386099E-3</v>
      </c>
      <c r="Y6" s="7"/>
      <c r="Z6" s="7"/>
      <c r="AA6" s="7"/>
      <c r="AB6" s="7"/>
      <c r="AC6" s="7"/>
    </row>
    <row r="7" spans="1:29" ht="16" customHeight="1">
      <c r="A7" s="33"/>
      <c r="B7" s="28">
        <v>-3.2919999999999998</v>
      </c>
      <c r="C7" s="28">
        <v>-1.1240625000000001E-2</v>
      </c>
      <c r="D7" s="29">
        <f t="shared" si="1"/>
        <v>1.6920000000000002E-8</v>
      </c>
      <c r="E7" s="26">
        <v>2.06723553470875E-4</v>
      </c>
      <c r="F7" s="30">
        <f t="shared" si="2"/>
        <v>4956.2300170277804</v>
      </c>
      <c r="G7" s="32">
        <f t="shared" si="3"/>
        <v>8.3859411888110056E-5</v>
      </c>
      <c r="H7" s="31"/>
      <c r="I7" s="31"/>
      <c r="J7" s="31"/>
      <c r="K7" s="29">
        <v>-3.3755000000000002</v>
      </c>
      <c r="L7" s="55">
        <v>-5.1283000000000002E-2</v>
      </c>
      <c r="M7" s="29">
        <f t="shared" si="4"/>
        <v>1.3210000000000032E-8</v>
      </c>
      <c r="N7" s="26">
        <v>6.8793925205401499E-5</v>
      </c>
      <c r="O7" s="30">
        <f t="shared" si="5"/>
        <v>37335.497862304874</v>
      </c>
      <c r="P7" s="32">
        <f t="shared" si="6"/>
        <v>4.9320192676104862E-4</v>
      </c>
      <c r="Q7" s="31"/>
      <c r="R7" s="2"/>
      <c r="S7" s="29">
        <v>-3.4380000000000002</v>
      </c>
      <c r="T7" s="29">
        <v>-0.09</v>
      </c>
      <c r="U7" s="29">
        <f t="shared" si="7"/>
        <v>1.9130000000000003E-8</v>
      </c>
      <c r="V7" s="26">
        <v>8.7592168490143005E-5</v>
      </c>
      <c r="W7" s="30">
        <f t="shared" ref="W7:W45" si="9">EXP((ABS(T7-T$15))/(0.008314*310))/V7</f>
        <v>427928.01176083612</v>
      </c>
      <c r="X7" s="32">
        <f t="shared" si="8"/>
        <v>8.186262864984797E-3</v>
      </c>
      <c r="Y7" s="7"/>
      <c r="Z7" s="7"/>
      <c r="AA7" s="7"/>
      <c r="AB7" s="7"/>
      <c r="AC7" s="7"/>
    </row>
    <row r="8" spans="1:29" ht="16" customHeight="1">
      <c r="A8" s="33"/>
      <c r="B8" s="28">
        <v>-3.1227999999999998</v>
      </c>
      <c r="C8" s="28">
        <v>6.2558500000000003E-2</v>
      </c>
      <c r="D8" s="29">
        <f t="shared" si="1"/>
        <v>2.2629999999999972E-8</v>
      </c>
      <c r="E8" s="26">
        <v>2.0372221783486799E-4</v>
      </c>
      <c r="F8" s="30">
        <f t="shared" si="2"/>
        <v>5920.6370669662729</v>
      </c>
      <c r="G8" s="32">
        <f t="shared" si="3"/>
        <v>1.3398401682544658E-4</v>
      </c>
      <c r="H8" s="31"/>
      <c r="I8" s="31"/>
      <c r="J8" s="31"/>
      <c r="K8" s="29">
        <v>-3.2433999999999998</v>
      </c>
      <c r="L8" s="55">
        <v>-3.7883E-2</v>
      </c>
      <c r="M8" s="29">
        <f t="shared" si="4"/>
        <v>1.762999999999999E-8</v>
      </c>
      <c r="N8" s="26">
        <v>4.7996772228089497E-5</v>
      </c>
      <c r="O8" s="30">
        <f t="shared" si="5"/>
        <v>53792.034545582042</v>
      </c>
      <c r="P8" s="32">
        <f t="shared" si="6"/>
        <v>9.4835356903861081E-4</v>
      </c>
      <c r="Q8" s="31"/>
      <c r="R8" s="2"/>
      <c r="S8" s="29">
        <v>-3.2467000000000001</v>
      </c>
      <c r="T8" s="29">
        <v>-0.39</v>
      </c>
      <c r="U8" s="29">
        <f t="shared" si="7"/>
        <v>2.2110000000000027E-8</v>
      </c>
      <c r="V8" s="26">
        <v>5.9099401351836698E-5</v>
      </c>
      <c r="W8" s="30">
        <f t="shared" si="9"/>
        <v>564548.73036631092</v>
      </c>
      <c r="X8" s="32">
        <f t="shared" si="8"/>
        <v>1.2482172428399149E-2</v>
      </c>
      <c r="Y8" s="7"/>
      <c r="Z8" s="7"/>
      <c r="AA8" s="7"/>
      <c r="AB8" s="7"/>
      <c r="AC8" s="7"/>
    </row>
    <row r="9" spans="1:29" ht="16" customHeight="1">
      <c r="A9" s="33"/>
      <c r="B9" s="28">
        <v>-2.8965000000000001</v>
      </c>
      <c r="C9" s="28">
        <v>0.4831125</v>
      </c>
      <c r="D9" s="29">
        <f t="shared" si="1"/>
        <v>1.6880000000000006E-8</v>
      </c>
      <c r="E9" s="26">
        <v>4.7872424180096103E-5</v>
      </c>
      <c r="F9" s="30">
        <f t="shared" si="2"/>
        <v>33134.1138673397</v>
      </c>
      <c r="G9" s="32">
        <f t="shared" si="3"/>
        <v>5.5930384208069438E-4</v>
      </c>
      <c r="H9" s="31"/>
      <c r="I9" s="31"/>
      <c r="J9" s="31"/>
      <c r="K9" s="29">
        <v>-3.0670999999999999</v>
      </c>
      <c r="L9" s="55">
        <v>0.17626</v>
      </c>
      <c r="M9" s="29">
        <f t="shared" si="4"/>
        <v>1.8310000000000003E-8</v>
      </c>
      <c r="N9" s="26">
        <v>2.1012739341578101E-5</v>
      </c>
      <c r="O9" s="30">
        <f t="shared" si="5"/>
        <v>133515.43640742369</v>
      </c>
      <c r="P9" s="32">
        <f t="shared" si="6"/>
        <v>2.4446676406199284E-3</v>
      </c>
      <c r="Q9" s="31"/>
      <c r="R9" s="2"/>
      <c r="S9" s="29">
        <v>-3.0255999999999998</v>
      </c>
      <c r="T9" s="29">
        <v>-0.94</v>
      </c>
      <c r="U9" s="29">
        <f t="shared" si="7"/>
        <v>1.7709999999999981E-8</v>
      </c>
      <c r="V9" s="26">
        <v>1.78277115858864E-5</v>
      </c>
      <c r="W9" s="30">
        <f t="shared" si="9"/>
        <v>1511858.7187554007</v>
      </c>
      <c r="X9" s="32">
        <f t="shared" si="8"/>
        <v>2.6775017909158118E-2</v>
      </c>
      <c r="Y9" s="7"/>
      <c r="Z9" s="7"/>
      <c r="AA9" s="7"/>
      <c r="AB9" s="7"/>
      <c r="AC9" s="7"/>
    </row>
    <row r="10" spans="1:29" ht="16" customHeight="1">
      <c r="A10" s="33"/>
      <c r="B10" s="28">
        <v>-2.7277</v>
      </c>
      <c r="C10" s="28">
        <v>1.1890499999999999</v>
      </c>
      <c r="D10" s="29">
        <f t="shared" si="1"/>
        <v>1.589999999999998E-8</v>
      </c>
      <c r="E10" s="26">
        <v>2.4541090868921401E-5</v>
      </c>
      <c r="F10" s="30">
        <f t="shared" si="2"/>
        <v>91163.555861133995</v>
      </c>
      <c r="G10" s="32">
        <f t="shared" si="3"/>
        <v>1.4495005381920288E-3</v>
      </c>
      <c r="H10" s="31"/>
      <c r="I10" s="31"/>
      <c r="J10" s="31"/>
      <c r="K10" s="29">
        <v>-2.8839999999999999</v>
      </c>
      <c r="L10" s="55">
        <v>0.50665000000000004</v>
      </c>
      <c r="M10" s="29">
        <f t="shared" si="4"/>
        <v>1.7529999999999999E-8</v>
      </c>
      <c r="N10" s="26">
        <v>6.2052116603467997E-6</v>
      </c>
      <c r="O10" s="30">
        <f t="shared" si="5"/>
        <v>513960.67985126347</v>
      </c>
      <c r="P10" s="32">
        <f t="shared" si="6"/>
        <v>9.0097307177926488E-3</v>
      </c>
      <c r="Q10" s="31"/>
      <c r="R10" s="2"/>
      <c r="S10" s="29">
        <v>-2.8485</v>
      </c>
      <c r="T10" s="29">
        <v>-1.24</v>
      </c>
      <c r="U10" s="29">
        <f t="shared" si="7"/>
        <v>2.1090000000000009E-8</v>
      </c>
      <c r="V10" s="26">
        <v>7.3063384623427102E-6</v>
      </c>
      <c r="W10" s="30">
        <f t="shared" si="9"/>
        <v>3283640.0510920146</v>
      </c>
      <c r="X10" s="32">
        <f t="shared" si="8"/>
        <v>6.9251968677530612E-2</v>
      </c>
      <c r="Y10" s="7"/>
      <c r="Z10" s="7"/>
      <c r="AA10" s="7"/>
      <c r="AB10" s="7"/>
      <c r="AC10" s="7"/>
    </row>
    <row r="11" spans="1:29" ht="16" customHeight="1">
      <c r="A11" s="33"/>
      <c r="B11" s="28">
        <v>-2.5687000000000002</v>
      </c>
      <c r="C11" s="28">
        <v>2.0754000000000001</v>
      </c>
      <c r="D11" s="29">
        <f t="shared" si="1"/>
        <v>2.2150000000000023E-8</v>
      </c>
      <c r="E11" s="26">
        <v>2.81743306067561E-6</v>
      </c>
      <c r="F11" s="30">
        <f t="shared" si="2"/>
        <v>821313.20276012865</v>
      </c>
      <c r="G11" s="32">
        <f t="shared" si="3"/>
        <v>1.8192087441136869E-2</v>
      </c>
      <c r="H11" s="31"/>
      <c r="I11" s="31"/>
      <c r="J11" s="31"/>
      <c r="K11" s="29">
        <v>-2.7086999999999999</v>
      </c>
      <c r="L11" s="55">
        <v>0.74753999999999998</v>
      </c>
      <c r="M11" s="29">
        <f t="shared" si="4"/>
        <v>1.934E-8</v>
      </c>
      <c r="N11" s="26">
        <v>8.64554030942812E-7</v>
      </c>
      <c r="O11" s="30">
        <f t="shared" si="5"/>
        <v>4050284.2768180426</v>
      </c>
      <c r="P11" s="32">
        <f t="shared" si="6"/>
        <v>7.833249791366094E-2</v>
      </c>
      <c r="Q11" s="31"/>
      <c r="R11" s="2"/>
      <c r="S11" s="29">
        <v>-2.6375999999999999</v>
      </c>
      <c r="T11" s="29">
        <v>-1.81</v>
      </c>
      <c r="U11" s="29">
        <f t="shared" si="7"/>
        <v>2.0109999999999983E-8</v>
      </c>
      <c r="V11" s="26">
        <v>1.8214922917459399E-6</v>
      </c>
      <c r="W11" s="30">
        <f t="shared" si="9"/>
        <v>10557964.231541159</v>
      </c>
      <c r="X11" s="32">
        <f t="shared" si="8"/>
        <v>0.21232066069629252</v>
      </c>
      <c r="Y11" s="7"/>
      <c r="Z11" s="7"/>
      <c r="AA11" s="7"/>
      <c r="AB11" s="7"/>
      <c r="AC11" s="7"/>
    </row>
    <row r="12" spans="1:29" ht="16" customHeight="1">
      <c r="A12" s="33"/>
      <c r="B12" s="28">
        <v>-2.3472</v>
      </c>
      <c r="C12" s="28">
        <v>2.1623250000000001</v>
      </c>
      <c r="D12" s="29">
        <f t="shared" si="1"/>
        <v>1.1969999999999991E-8</v>
      </c>
      <c r="E12" s="26">
        <v>2.0573668193172299E-6</v>
      </c>
      <c r="F12" s="30">
        <f t="shared" si="2"/>
        <v>876671.35608317796</v>
      </c>
      <c r="G12" s="32">
        <f t="shared" si="3"/>
        <v>1.0493756132315632E-2</v>
      </c>
      <c r="H12" s="31"/>
      <c r="I12" s="31"/>
      <c r="J12" s="31"/>
      <c r="K12" s="29">
        <v>-2.5152999999999999</v>
      </c>
      <c r="L12" s="55">
        <v>0.1384</v>
      </c>
      <c r="M12" s="29">
        <f t="shared" si="4"/>
        <v>2.254999999999998E-8</v>
      </c>
      <c r="N12" s="26">
        <v>3.0652607701929799E-7</v>
      </c>
      <c r="O12" s="30">
        <f t="shared" si="5"/>
        <v>9019181.5559804123</v>
      </c>
      <c r="P12" s="32">
        <f t="shared" si="6"/>
        <v>0.20338254408735812</v>
      </c>
      <c r="Q12" s="31"/>
      <c r="R12" s="2"/>
      <c r="S12" s="29">
        <v>-2.4365000000000001</v>
      </c>
      <c r="T12" s="29">
        <v>-3.23</v>
      </c>
      <c r="U12" s="29">
        <f t="shared" si="7"/>
        <v>1.7379999999999994E-8</v>
      </c>
      <c r="V12" s="26">
        <v>1.26764964467383E-6</v>
      </c>
      <c r="W12" s="30">
        <f t="shared" si="9"/>
        <v>8744425.708079081</v>
      </c>
      <c r="X12" s="32">
        <f t="shared" si="8"/>
        <v>0.15197811880641438</v>
      </c>
      <c r="Y12" s="7"/>
      <c r="Z12" s="7"/>
      <c r="AA12" s="7"/>
      <c r="AB12" s="7"/>
      <c r="AC12" s="7"/>
    </row>
    <row r="13" spans="1:29" ht="16" customHeight="1">
      <c r="A13" s="33"/>
      <c r="B13" s="28">
        <v>-2.2275</v>
      </c>
      <c r="C13" s="28">
        <v>1.5201249999999999</v>
      </c>
      <c r="D13" s="29">
        <f t="shared" si="1"/>
        <v>1.8520000000000003E-8</v>
      </c>
      <c r="E13" s="26">
        <v>3.55078116664861E-6</v>
      </c>
      <c r="F13" s="30">
        <f t="shared" si="2"/>
        <v>384570.03014383075</v>
      </c>
      <c r="G13" s="32">
        <f t="shared" si="3"/>
        <v>7.1222369582637467E-3</v>
      </c>
      <c r="H13" s="31"/>
      <c r="I13" s="31"/>
      <c r="J13" s="31"/>
      <c r="K13" s="29">
        <v>-2.2898000000000001</v>
      </c>
      <c r="L13" s="55">
        <v>-1.6474</v>
      </c>
      <c r="M13" s="29">
        <f t="shared" si="4"/>
        <v>2.0080000000000008E-8</v>
      </c>
      <c r="N13" s="26">
        <v>1.6547852544620599E-7</v>
      </c>
      <c r="O13" s="30">
        <f t="shared" si="5"/>
        <v>8355584.2015231894</v>
      </c>
      <c r="P13" s="32">
        <f t="shared" si="6"/>
        <v>0.16778013076658571</v>
      </c>
      <c r="Q13" s="31"/>
      <c r="R13" s="2"/>
      <c r="S13" s="29">
        <v>-2.2627000000000002</v>
      </c>
      <c r="T13" s="29">
        <v>-5.2</v>
      </c>
      <c r="U13" s="29">
        <f t="shared" si="7"/>
        <v>1.5980000000000015E-8</v>
      </c>
      <c r="V13" s="26">
        <v>4.5058725947903702E-7</v>
      </c>
      <c r="W13" s="30">
        <f t="shared" si="9"/>
        <v>11455048.243175404</v>
      </c>
      <c r="X13" s="32">
        <f t="shared" si="8"/>
        <v>0.18305167092594313</v>
      </c>
      <c r="Y13" s="7"/>
      <c r="Z13" s="7"/>
      <c r="AA13" s="7"/>
      <c r="AB13" s="7"/>
      <c r="AC13" s="7"/>
    </row>
    <row r="14" spans="1:29" ht="16" customHeight="1">
      <c r="A14" s="33"/>
      <c r="B14" s="28">
        <v>-2.0423</v>
      </c>
      <c r="C14" s="28">
        <v>0.80293999999999999</v>
      </c>
      <c r="D14" s="29">
        <f t="shared" si="1"/>
        <v>2.2609999999999995E-8</v>
      </c>
      <c r="E14" s="26">
        <v>3.1819483594847698E-7</v>
      </c>
      <c r="F14" s="30">
        <f t="shared" si="2"/>
        <v>4115032.0854074643</v>
      </c>
      <c r="G14" s="32">
        <f t="shared" si="3"/>
        <v>9.3040875451062752E-2</v>
      </c>
      <c r="H14" s="31"/>
      <c r="I14" s="31"/>
      <c r="J14" s="31"/>
      <c r="K14" s="29">
        <v>-2.089</v>
      </c>
      <c r="L14" s="55">
        <v>-2.4824999999999999</v>
      </c>
      <c r="M14" s="29">
        <f t="shared" si="4"/>
        <v>2.1120000000000003E-8</v>
      </c>
      <c r="N14" s="26">
        <v>3.6849929550067899E-7</v>
      </c>
      <c r="O14" s="30">
        <f t="shared" si="5"/>
        <v>2713709.3943186589</v>
      </c>
      <c r="P14" s="32">
        <f t="shared" si="6"/>
        <v>5.7313542408010086E-2</v>
      </c>
      <c r="Q14" s="31"/>
      <c r="R14" s="2"/>
      <c r="S14" s="29">
        <v>-2.1029</v>
      </c>
      <c r="T14" s="29">
        <v>-7.63</v>
      </c>
      <c r="U14" s="29">
        <f t="shared" si="7"/>
        <v>2.2199999999999997E-8</v>
      </c>
      <c r="V14" s="26">
        <v>1.41701635302204E-8</v>
      </c>
      <c r="W14" s="30">
        <f t="shared" si="9"/>
        <v>141884188.86485183</v>
      </c>
      <c r="X14" s="32">
        <f t="shared" si="8"/>
        <v>3.1498289927997103</v>
      </c>
      <c r="Y14" s="7"/>
      <c r="Z14" s="7"/>
      <c r="AA14" s="7"/>
      <c r="AB14" s="7"/>
      <c r="AC14" s="7"/>
    </row>
    <row r="15" spans="1:29" ht="16" customHeight="1">
      <c r="A15" s="33"/>
      <c r="B15" s="28">
        <v>-1.8162</v>
      </c>
      <c r="C15" s="28">
        <v>0.69473549999999995</v>
      </c>
      <c r="D15" s="29">
        <f t="shared" si="1"/>
        <v>1.9940000000000002E-8</v>
      </c>
      <c r="E15" s="26">
        <v>1.17474703698631E-6</v>
      </c>
      <c r="F15" s="30">
        <f t="shared" si="2"/>
        <v>2195705.832474234</v>
      </c>
      <c r="G15" s="32">
        <f t="shared" si="3"/>
        <v>4.3782374299536228E-2</v>
      </c>
      <c r="H15" s="31"/>
      <c r="I15" s="31"/>
      <c r="J15" s="31"/>
      <c r="K15" s="29">
        <v>-1.8777999999999999</v>
      </c>
      <c r="L15" s="55">
        <v>-2.1044</v>
      </c>
      <c r="M15" s="29">
        <f t="shared" si="4"/>
        <v>1.5699999999999978E-8</v>
      </c>
      <c r="N15" s="26">
        <v>4.9836174640160395E-7</v>
      </c>
      <c r="O15" s="30">
        <f t="shared" si="5"/>
        <v>2323630.2029232471</v>
      </c>
      <c r="P15" s="32">
        <f t="shared" si="6"/>
        <v>3.6480994185894927E-2</v>
      </c>
      <c r="Q15" s="31"/>
      <c r="R15" s="2"/>
      <c r="S15" s="29">
        <v>-1.8809</v>
      </c>
      <c r="T15" s="29">
        <v>-9.43</v>
      </c>
      <c r="U15" s="29">
        <f t="shared" si="7"/>
        <v>1.8779999999999997E-8</v>
      </c>
      <c r="V15" s="26">
        <v>4.2364042138341099E-7</v>
      </c>
      <c r="W15" s="30">
        <f t="shared" si="9"/>
        <v>2360492.4117827774</v>
      </c>
      <c r="X15" s="32">
        <f t="shared" si="8"/>
        <v>4.4330047493280553E-2</v>
      </c>
      <c r="Y15" s="7"/>
      <c r="Z15" s="7"/>
      <c r="AA15" s="7"/>
      <c r="AB15" s="7"/>
      <c r="AC15" s="7"/>
    </row>
    <row r="16" spans="1:29" ht="16" customHeight="1">
      <c r="A16" s="33"/>
      <c r="B16" s="28">
        <v>-1.6168</v>
      </c>
      <c r="C16" s="28">
        <v>2.4421750000000002</v>
      </c>
      <c r="D16" s="29">
        <f t="shared" si="1"/>
        <v>1.5680000000000005E-8</v>
      </c>
      <c r="E16" s="26">
        <v>1.1843245071224099E-6</v>
      </c>
      <c r="F16" s="30">
        <f t="shared" si="2"/>
        <v>5530856.7896350622</v>
      </c>
      <c r="G16" s="32">
        <f t="shared" si="3"/>
        <v>8.67238344614778E-2</v>
      </c>
      <c r="H16" s="31"/>
      <c r="I16" s="31"/>
      <c r="J16" s="31"/>
      <c r="K16" s="29">
        <v>-1.7208000000000001</v>
      </c>
      <c r="L16" s="55">
        <v>-0.91276000000000002</v>
      </c>
      <c r="M16" s="29">
        <f t="shared" si="4"/>
        <v>1.7210000000000013E-8</v>
      </c>
      <c r="N16" s="26">
        <v>3.9565586611763199E-7</v>
      </c>
      <c r="O16" s="30">
        <f t="shared" si="5"/>
        <v>4647199.438144316</v>
      </c>
      <c r="P16" s="32">
        <f t="shared" si="6"/>
        <v>7.9978302330463741E-2</v>
      </c>
      <c r="Q16" s="31"/>
      <c r="R16" s="2"/>
      <c r="S16" s="29">
        <v>-1.6931</v>
      </c>
      <c r="T16" s="29">
        <v>-8.31</v>
      </c>
      <c r="U16" s="29">
        <f t="shared" si="7"/>
        <v>1.9769999999999998E-8</v>
      </c>
      <c r="V16" s="26">
        <v>1.53316627302404E-6</v>
      </c>
      <c r="W16" s="30">
        <f t="shared" si="9"/>
        <v>1007247.6397210583</v>
      </c>
      <c r="X16" s="32">
        <f t="shared" si="8"/>
        <v>1.991328583728532E-2</v>
      </c>
      <c r="Y16" s="7"/>
      <c r="Z16" s="7"/>
      <c r="AA16" s="7"/>
      <c r="AB16" s="7"/>
      <c r="AC16" s="7"/>
    </row>
    <row r="17" spans="1:29" ht="16" customHeight="1">
      <c r="A17" s="33"/>
      <c r="B17" s="28">
        <v>-1.46</v>
      </c>
      <c r="C17" s="28">
        <v>4.84415</v>
      </c>
      <c r="D17" s="29">
        <f t="shared" si="1"/>
        <v>2.2770000000000001E-8</v>
      </c>
      <c r="E17" s="26">
        <v>5.1647960909100002E-7</v>
      </c>
      <c r="F17" s="30">
        <f t="shared" si="2"/>
        <v>52250787.95215556</v>
      </c>
      <c r="G17" s="32">
        <f t="shared" si="3"/>
        <v>1.1897504416705822</v>
      </c>
      <c r="H17" s="31"/>
      <c r="I17" s="31"/>
      <c r="J17" s="31"/>
      <c r="K17" s="29">
        <v>-1.5487</v>
      </c>
      <c r="L17" s="55">
        <v>1.4218</v>
      </c>
      <c r="M17" s="29">
        <f t="shared" si="4"/>
        <v>2.0120000000000004E-8</v>
      </c>
      <c r="N17" s="26">
        <v>8.2340073357272105E-7</v>
      </c>
      <c r="O17" s="30">
        <f t="shared" si="5"/>
        <v>5524367.0573028075</v>
      </c>
      <c r="P17" s="32">
        <f t="shared" si="6"/>
        <v>0.11115026519293252</v>
      </c>
      <c r="Q17" s="31"/>
      <c r="R17" s="2"/>
      <c r="S17" s="29">
        <v>-1.4954000000000001</v>
      </c>
      <c r="T17" s="29">
        <v>-5.04</v>
      </c>
      <c r="U17" s="29">
        <f t="shared" si="7"/>
        <v>1.7610000000000013E-8</v>
      </c>
      <c r="V17" s="26">
        <v>2.4830934070479501E-7</v>
      </c>
      <c r="W17" s="30">
        <f t="shared" si="9"/>
        <v>22117883.255068149</v>
      </c>
      <c r="X17" s="32">
        <f t="shared" si="8"/>
        <v>0.38949592412175038</v>
      </c>
      <c r="Y17" s="7"/>
      <c r="Z17" s="7"/>
      <c r="AA17" s="7"/>
      <c r="AB17" s="7"/>
      <c r="AC17" s="7"/>
    </row>
    <row r="18" spans="1:29" ht="16" customHeight="1">
      <c r="A18" s="33"/>
      <c r="B18" s="28">
        <v>-1.2323</v>
      </c>
      <c r="C18" s="28">
        <v>8.4931999999999999</v>
      </c>
      <c r="D18" s="29">
        <f t="shared" si="1"/>
        <v>2.016E-8</v>
      </c>
      <c r="E18" s="26">
        <v>5.6426478866486803E-7</v>
      </c>
      <c r="F18" s="30">
        <f t="shared" si="2"/>
        <v>188017813.85944569</v>
      </c>
      <c r="G18" s="32">
        <f t="shared" si="3"/>
        <v>3.7904391274064251</v>
      </c>
      <c r="H18" s="31"/>
      <c r="I18" s="31"/>
      <c r="J18" s="31"/>
      <c r="K18" s="29">
        <v>-1.3474999999999999</v>
      </c>
      <c r="L18" s="55">
        <v>4.6159999999999997</v>
      </c>
      <c r="M18" s="29">
        <f t="shared" si="4"/>
        <v>1.6039999999999987E-8</v>
      </c>
      <c r="N18" s="26">
        <v>5.5296790428315102E-8</v>
      </c>
      <c r="O18" s="30">
        <f t="shared" si="5"/>
        <v>284074520.01913089</v>
      </c>
      <c r="P18" s="32">
        <f t="shared" si="6"/>
        <v>4.5565553011068554</v>
      </c>
      <c r="Q18" s="31"/>
      <c r="R18" s="2"/>
      <c r="S18" s="29">
        <v>-1.3192999999999999</v>
      </c>
      <c r="T18" s="29">
        <v>-0.49</v>
      </c>
      <c r="U18" s="29">
        <f t="shared" si="7"/>
        <v>1.8149999999999997E-8</v>
      </c>
      <c r="V18" s="26">
        <v>2.0077212899564099E-7</v>
      </c>
      <c r="W18" s="30">
        <f t="shared" si="9"/>
        <v>159856610.42491651</v>
      </c>
      <c r="X18" s="32">
        <f t="shared" si="8"/>
        <v>2.9013974792122341</v>
      </c>
      <c r="Y18" s="7"/>
      <c r="Z18" s="7"/>
      <c r="AA18" s="7"/>
      <c r="AB18" s="7"/>
      <c r="AC18" s="7"/>
    </row>
    <row r="19" spans="1:29" ht="16" customHeight="1">
      <c r="A19" s="33"/>
      <c r="B19" s="28">
        <v>-1.0306999999999999</v>
      </c>
      <c r="C19" s="28">
        <v>12.0215</v>
      </c>
      <c r="D19" s="29">
        <f t="shared" si="1"/>
        <v>1.5296999999999995E-8</v>
      </c>
      <c r="E19" s="26">
        <v>2.8104178666561898E-7</v>
      </c>
      <c r="F19" s="30">
        <f t="shared" si="2"/>
        <v>612342729.46660614</v>
      </c>
      <c r="G19" s="32">
        <f t="shared" si="3"/>
        <v>9.3670067326506707</v>
      </c>
      <c r="H19" s="31"/>
      <c r="I19" s="31"/>
      <c r="J19" s="31"/>
      <c r="K19" s="29">
        <v>-1.1871</v>
      </c>
      <c r="L19" s="55">
        <v>7.4546000000000001</v>
      </c>
      <c r="M19" s="29">
        <f t="shared" si="4"/>
        <v>1.4280000000000003E-8</v>
      </c>
      <c r="N19" s="26">
        <v>2.8423796637636002E-7</v>
      </c>
      <c r="O19" s="30">
        <f t="shared" si="5"/>
        <v>166252504.78966528</v>
      </c>
      <c r="P19" s="32">
        <f t="shared" si="6"/>
        <v>2.3740857683964207</v>
      </c>
      <c r="Q19" s="31"/>
      <c r="R19" s="2"/>
      <c r="S19" s="29">
        <v>-1.1377999999999999</v>
      </c>
      <c r="T19" s="29">
        <v>5.14</v>
      </c>
      <c r="U19" s="29">
        <f t="shared" si="7"/>
        <v>2.2731999999999995E-8</v>
      </c>
      <c r="V19" s="26">
        <v>2.7800052592109198E-7</v>
      </c>
      <c r="W19" s="30">
        <f t="shared" si="9"/>
        <v>1025819927.2438499</v>
      </c>
      <c r="X19" s="32">
        <f t="shared" si="8"/>
        <v>23.318938586107191</v>
      </c>
      <c r="Y19" s="7"/>
      <c r="Z19" s="7"/>
      <c r="AA19" s="7"/>
      <c r="AB19" s="7"/>
      <c r="AC19" s="7"/>
    </row>
    <row r="20" spans="1:29" ht="16" customHeight="1">
      <c r="A20" s="33"/>
      <c r="B20" s="28">
        <v>-0.87773000000000001</v>
      </c>
      <c r="C20" s="28">
        <v>13.26825</v>
      </c>
      <c r="D20" s="29">
        <f t="shared" si="1"/>
        <v>1.8386999999999998E-8</v>
      </c>
      <c r="E20" s="26">
        <v>7.8458684794318494E-8</v>
      </c>
      <c r="F20" s="30">
        <f t="shared" si="2"/>
        <v>1975852354.2451081</v>
      </c>
      <c r="G20" s="32">
        <f t="shared" si="3"/>
        <v>36.329997237504799</v>
      </c>
      <c r="H20" s="31"/>
      <c r="I20" s="31"/>
      <c r="J20" s="31"/>
      <c r="K20" s="29">
        <v>-1.0443</v>
      </c>
      <c r="L20" s="55">
        <v>9.7852999999999994</v>
      </c>
      <c r="M20" s="29">
        <f t="shared" si="4"/>
        <v>1.7015999999999998E-8</v>
      </c>
      <c r="N20" s="26">
        <v>4.1715867561850601E-8</v>
      </c>
      <c r="O20" s="30">
        <f t="shared" si="5"/>
        <v>2798230150.8390145</v>
      </c>
      <c r="P20" s="32">
        <f t="shared" si="6"/>
        <v>47.614684246676667</v>
      </c>
      <c r="Q20" s="31"/>
      <c r="R20" s="2"/>
      <c r="S20" s="29">
        <v>-0.91047999999999996</v>
      </c>
      <c r="T20" s="29">
        <v>13.03</v>
      </c>
      <c r="U20" s="29">
        <f t="shared" si="7"/>
        <v>1.090899999999999E-8</v>
      </c>
      <c r="V20" s="26">
        <v>4.9279203726534301E-7</v>
      </c>
      <c r="W20" s="30">
        <f t="shared" si="9"/>
        <v>12358248414.165569</v>
      </c>
      <c r="X20" s="32">
        <f t="shared" si="8"/>
        <v>134.81613195013207</v>
      </c>
      <c r="Y20" s="7"/>
      <c r="Z20" s="7"/>
      <c r="AA20" s="7"/>
      <c r="AB20" s="7"/>
      <c r="AC20" s="7"/>
    </row>
    <row r="21" spans="1:29" ht="16" customHeight="1">
      <c r="A21" s="33"/>
      <c r="B21" s="28">
        <v>-0.69386000000000003</v>
      </c>
      <c r="C21" s="28">
        <v>12.999000000000001</v>
      </c>
      <c r="D21" s="29">
        <f t="shared" si="1"/>
        <v>2.0304999999999999E-8</v>
      </c>
      <c r="E21" s="26">
        <v>4.9833424595400398E-7</v>
      </c>
      <c r="F21" s="30">
        <f t="shared" si="2"/>
        <v>219026052.56964144</v>
      </c>
      <c r="G21" s="32">
        <f t="shared" si="3"/>
        <v>4.4473239974265688</v>
      </c>
      <c r="H21" s="31"/>
      <c r="I21" s="31"/>
      <c r="J21" s="31"/>
      <c r="K21" s="29">
        <v>-0.87414000000000003</v>
      </c>
      <c r="L21" s="55">
        <v>12.865</v>
      </c>
      <c r="M21" s="29">
        <f t="shared" si="4"/>
        <v>2.0910000000000007E-8</v>
      </c>
      <c r="N21" s="26">
        <v>5.1112281773389596E-7</v>
      </c>
      <c r="O21" s="30">
        <f t="shared" si="5"/>
        <v>754404131.59016895</v>
      </c>
      <c r="P21" s="32">
        <f t="shared" si="6"/>
        <v>15.774590391550438</v>
      </c>
      <c r="Q21" s="31"/>
      <c r="R21" s="2"/>
      <c r="S21" s="29">
        <v>-0.80139000000000005</v>
      </c>
      <c r="T21" s="29">
        <v>17.3</v>
      </c>
      <c r="U21" s="29">
        <f t="shared" si="7"/>
        <v>1.8784000000000001E-8</v>
      </c>
      <c r="V21" s="26">
        <v>8.5383780731549896E-9</v>
      </c>
      <c r="W21" s="30">
        <f t="shared" si="9"/>
        <v>3739049792092.3677</v>
      </c>
      <c r="X21" s="32">
        <f t="shared" si="8"/>
        <v>70234.311294663043</v>
      </c>
      <c r="Y21" s="7"/>
      <c r="Z21" s="7"/>
      <c r="AA21" s="7"/>
      <c r="AB21" s="7"/>
      <c r="AC21" s="7"/>
    </row>
    <row r="22" spans="1:29" ht="16" customHeight="1">
      <c r="A22" s="33"/>
      <c r="B22" s="28">
        <v>-0.49081000000000002</v>
      </c>
      <c r="C22" s="28">
        <v>12.0947</v>
      </c>
      <c r="D22" s="29">
        <f t="shared" si="1"/>
        <v>2.2623999999999998E-8</v>
      </c>
      <c r="E22" s="26">
        <v>2.4567596852331099E-6</v>
      </c>
      <c r="F22" s="30">
        <f t="shared" si="2"/>
        <v>25420475.593760218</v>
      </c>
      <c r="G22" s="32">
        <f t="shared" si="3"/>
        <v>0.57511283983323114</v>
      </c>
      <c r="H22" s="31"/>
      <c r="I22" s="31"/>
      <c r="J22" s="31"/>
      <c r="K22" s="29">
        <v>-0.66503999999999996</v>
      </c>
      <c r="L22" s="55">
        <v>16.167000000000002</v>
      </c>
      <c r="M22" s="29">
        <f t="shared" si="4"/>
        <v>2.0710999999999996E-8</v>
      </c>
      <c r="N22" s="26">
        <v>6.5393360274886401E-10</v>
      </c>
      <c r="O22" s="30">
        <f t="shared" si="5"/>
        <v>2123239248216.2334</v>
      </c>
      <c r="P22" s="32">
        <f t="shared" si="6"/>
        <v>43974.408069806399</v>
      </c>
      <c r="Q22" s="31"/>
      <c r="R22" s="2"/>
      <c r="S22" s="29">
        <v>-0.61355000000000004</v>
      </c>
      <c r="T22" s="29">
        <v>21.86</v>
      </c>
      <c r="U22" s="29">
        <f t="shared" si="7"/>
        <v>1.9919000000000001E-8</v>
      </c>
      <c r="V22" s="26">
        <v>4.18783500650635E-7</v>
      </c>
      <c r="W22" s="30">
        <f t="shared" si="9"/>
        <v>447228552175.93579</v>
      </c>
      <c r="X22" s="32">
        <f t="shared" si="8"/>
        <v>8908.3455307924651</v>
      </c>
      <c r="Y22" s="7"/>
      <c r="Z22" s="7"/>
      <c r="AA22" s="7"/>
      <c r="AB22" s="7"/>
      <c r="AC22" s="7"/>
    </row>
    <row r="23" spans="1:29" ht="16" customHeight="1">
      <c r="A23" s="33"/>
      <c r="B23" s="28">
        <v>-0.26457000000000003</v>
      </c>
      <c r="C23" s="28">
        <v>10.655749999999999</v>
      </c>
      <c r="D23" s="29">
        <f t="shared" si="1"/>
        <v>2.0194800000000002E-8</v>
      </c>
      <c r="E23" s="26">
        <v>6.4884013459444397E-6</v>
      </c>
      <c r="F23" s="30">
        <f t="shared" si="2"/>
        <v>7251176.4453223553</v>
      </c>
      <c r="G23" s="32">
        <f t="shared" si="3"/>
        <v>0.14643605807799592</v>
      </c>
      <c r="H23" s="31"/>
      <c r="I23" s="31"/>
      <c r="J23" s="31"/>
      <c r="K23" s="29">
        <v>-0.45793</v>
      </c>
      <c r="L23" s="55">
        <v>17.417999999999999</v>
      </c>
      <c r="M23" s="29">
        <f t="shared" si="4"/>
        <v>2.0246999999999996E-8</v>
      </c>
      <c r="N23" s="26">
        <v>1.55860655991859E-6</v>
      </c>
      <c r="O23" s="30">
        <f t="shared" si="5"/>
        <v>1447423930.554378</v>
      </c>
      <c r="P23" s="32">
        <f t="shared" si="6"/>
        <v>29.305992321934486</v>
      </c>
      <c r="Q23" s="31"/>
      <c r="R23" s="2"/>
      <c r="S23" s="29">
        <v>-0.41436000000000001</v>
      </c>
      <c r="T23" s="29">
        <v>22.45</v>
      </c>
      <c r="U23" s="29">
        <f t="shared" si="7"/>
        <v>1.9909999999999998E-8</v>
      </c>
      <c r="V23" s="26">
        <v>9.3407256912143096E-7</v>
      </c>
      <c r="W23" s="30">
        <f t="shared" si="9"/>
        <v>252090437593.35669</v>
      </c>
      <c r="X23" s="32">
        <f t="shared" si="8"/>
        <v>5019.1206124837308</v>
      </c>
      <c r="Y23" s="7"/>
      <c r="Z23" s="7"/>
      <c r="AA23" s="7"/>
      <c r="AB23" s="7"/>
      <c r="AC23" s="7"/>
    </row>
    <row r="24" spans="1:29" ht="16" customHeight="1">
      <c r="A24" s="33"/>
      <c r="B24" s="28">
        <v>-6.2621999999999997E-2</v>
      </c>
      <c r="C24" s="28">
        <v>9.9258000000000006</v>
      </c>
      <c r="D24" s="29">
        <f t="shared" si="1"/>
        <v>1.8997199999999996E-8</v>
      </c>
      <c r="E24" s="26">
        <v>7.3384555951464301E-6</v>
      </c>
      <c r="F24" s="30">
        <f t="shared" si="2"/>
        <v>6578742.2738500321</v>
      </c>
      <c r="G24" s="32">
        <f t="shared" si="3"/>
        <v>0.1249776827247838</v>
      </c>
      <c r="H24" s="31"/>
      <c r="I24" s="31"/>
      <c r="J24" s="31"/>
      <c r="K24" s="29">
        <v>-0.25546000000000002</v>
      </c>
      <c r="L24" s="55">
        <v>18.079999999999998</v>
      </c>
      <c r="M24" s="29">
        <f t="shared" si="4"/>
        <v>1.9612800000000001E-8</v>
      </c>
      <c r="N24" s="26">
        <v>1.06252816200895E-6</v>
      </c>
      <c r="O24" s="30">
        <f t="shared" si="5"/>
        <v>2744998166.1524463</v>
      </c>
      <c r="P24" s="32">
        <f t="shared" si="6"/>
        <v>53.837100033114702</v>
      </c>
      <c r="Q24" s="31"/>
      <c r="R24" s="2"/>
      <c r="S24" s="29">
        <v>-0.21526000000000001</v>
      </c>
      <c r="T24" s="29">
        <v>22.43</v>
      </c>
      <c r="U24" s="29">
        <f t="shared" si="7"/>
        <v>1.3394800000000001E-8</v>
      </c>
      <c r="V24" s="26">
        <v>2.0088761232668101E-6</v>
      </c>
      <c r="W24" s="30">
        <f t="shared" si="9"/>
        <v>116309110685.23036</v>
      </c>
      <c r="X24" s="32">
        <f t="shared" si="8"/>
        <v>1557.9372758065238</v>
      </c>
      <c r="Y24" s="7"/>
      <c r="Z24" s="7"/>
      <c r="AA24" s="7"/>
      <c r="AB24" s="7"/>
      <c r="AC24" s="7"/>
    </row>
    <row r="25" spans="1:29" ht="16" customHeight="1">
      <c r="A25" s="33"/>
      <c r="B25" s="28">
        <v>0.12734999999999999</v>
      </c>
      <c r="C25" s="28">
        <v>9.9922749999999994</v>
      </c>
      <c r="D25" s="29">
        <f t="shared" si="1"/>
        <v>1.9118E-8</v>
      </c>
      <c r="E25" s="26">
        <v>8.2230972899465008E-6</v>
      </c>
      <c r="F25" s="30">
        <f t="shared" si="2"/>
        <v>8298458.8459155988</v>
      </c>
      <c r="G25" s="32">
        <f t="shared" si="3"/>
        <v>0.15864993621621443</v>
      </c>
      <c r="H25" s="31"/>
      <c r="I25" s="31"/>
      <c r="J25" s="31"/>
      <c r="K25" s="29">
        <v>-5.9332000000000003E-2</v>
      </c>
      <c r="L25" s="55">
        <v>18.323</v>
      </c>
      <c r="M25" s="29">
        <f t="shared" si="4"/>
        <v>1.56867E-8</v>
      </c>
      <c r="N25" s="26">
        <v>1.9060650033381E-6</v>
      </c>
      <c r="O25" s="30">
        <f t="shared" si="5"/>
        <v>1681479192.6117425</v>
      </c>
      <c r="P25" s="32">
        <f t="shared" si="6"/>
        <v>26.37685965074262</v>
      </c>
      <c r="Q25" s="31"/>
      <c r="R25" s="2"/>
      <c r="S25" s="29">
        <v>-8.1311999999999995E-2</v>
      </c>
      <c r="T25" s="29">
        <v>22.6</v>
      </c>
      <c r="U25" s="29">
        <f t="shared" si="7"/>
        <v>2.0753199999999998E-8</v>
      </c>
      <c r="V25" s="26">
        <v>2.8922108058318098E-6</v>
      </c>
      <c r="W25" s="30">
        <f t="shared" si="9"/>
        <v>86294434037.450912</v>
      </c>
      <c r="X25" s="32">
        <f t="shared" si="8"/>
        <v>1790.8856484660262</v>
      </c>
      <c r="Y25" s="7"/>
      <c r="Z25" s="7"/>
      <c r="AA25" s="7"/>
      <c r="AB25" s="7"/>
      <c r="AC25" s="7"/>
    </row>
    <row r="26" spans="1:29" ht="16" customHeight="1">
      <c r="A26" s="33"/>
      <c r="B26" s="28">
        <v>0.31852999999999998</v>
      </c>
      <c r="C26" s="28">
        <v>10.88415</v>
      </c>
      <c r="D26" s="29">
        <f t="shared" si="1"/>
        <v>3.8765999999999998E-8</v>
      </c>
      <c r="E26" s="26">
        <v>3.54187200599125E-6</v>
      </c>
      <c r="F26" s="30">
        <f t="shared" si="2"/>
        <v>38540585.687624</v>
      </c>
      <c r="G26" s="32">
        <f t="shared" si="3"/>
        <v>1.4940643447664319</v>
      </c>
      <c r="H26" s="31"/>
      <c r="I26" s="31"/>
      <c r="J26" s="31"/>
      <c r="K26" s="29">
        <v>9.7534999999999997E-2</v>
      </c>
      <c r="L26" s="55">
        <v>18.029</v>
      </c>
      <c r="M26" s="29">
        <f t="shared" si="4"/>
        <v>3.9826500000000003E-8</v>
      </c>
      <c r="N26" s="26">
        <v>1.8666434324696099E-6</v>
      </c>
      <c r="O26" s="30">
        <f t="shared" si="5"/>
        <v>1531889327.8371613</v>
      </c>
      <c r="P26" s="32">
        <f t="shared" si="6"/>
        <v>61.009790315106706</v>
      </c>
      <c r="Q26" s="31"/>
      <c r="R26" s="2"/>
      <c r="S26" s="29">
        <v>0.12622</v>
      </c>
      <c r="T26" s="29">
        <v>22.43</v>
      </c>
      <c r="U26" s="29">
        <f t="shared" si="7"/>
        <v>2.1798000000000001E-8</v>
      </c>
      <c r="V26" s="26">
        <v>1.6214275163304101E-6</v>
      </c>
      <c r="W26" s="30">
        <f t="shared" si="9"/>
        <v>144101782546.99313</v>
      </c>
      <c r="X26" s="32">
        <f t="shared" si="8"/>
        <v>3141.1306559593563</v>
      </c>
      <c r="Y26" s="7"/>
      <c r="Z26" s="7"/>
      <c r="AA26" s="7"/>
      <c r="AB26" s="7"/>
      <c r="AC26" s="7"/>
    </row>
    <row r="27" spans="1:29" ht="16" customHeight="1">
      <c r="A27" s="33"/>
      <c r="B27" s="28">
        <v>0.70618999999999998</v>
      </c>
      <c r="C27" s="28">
        <v>12.671150000000001</v>
      </c>
      <c r="D27" s="29">
        <f t="shared" si="1"/>
        <v>1.9598000000000004E-8</v>
      </c>
      <c r="E27" s="26">
        <v>3.4284145680401299E-6</v>
      </c>
      <c r="F27" s="30">
        <f t="shared" si="2"/>
        <v>28785307.548276849</v>
      </c>
      <c r="G27" s="32">
        <f t="shared" si="3"/>
        <v>0.56413445733112977</v>
      </c>
      <c r="H27" s="31"/>
      <c r="I27" s="31"/>
      <c r="J27" s="31"/>
      <c r="K27" s="29">
        <v>0.49580000000000002</v>
      </c>
      <c r="L27" s="55">
        <v>16.911999999999999</v>
      </c>
      <c r="M27" s="29">
        <f t="shared" si="4"/>
        <v>2.1987E-8</v>
      </c>
      <c r="N27" s="26">
        <v>7.0901045958112299E-7</v>
      </c>
      <c r="O27" s="30">
        <f t="shared" si="5"/>
        <v>2614665367.902739</v>
      </c>
      <c r="P27" s="32">
        <f t="shared" si="6"/>
        <v>57.488647444077522</v>
      </c>
      <c r="Q27" s="31"/>
      <c r="R27" s="2"/>
      <c r="S27" s="29">
        <v>0.34420000000000001</v>
      </c>
      <c r="T27" s="29">
        <v>22.06</v>
      </c>
      <c r="U27" s="29">
        <f t="shared" si="7"/>
        <v>2.4684999999999996E-8</v>
      </c>
      <c r="V27" s="26">
        <v>1.6390673969483099E-6</v>
      </c>
      <c r="W27" s="30">
        <f t="shared" si="9"/>
        <v>123487573871.87155</v>
      </c>
      <c r="X27" s="32">
        <f t="shared" si="8"/>
        <v>3048.2907610271486</v>
      </c>
      <c r="Y27" s="7"/>
      <c r="Z27" s="7"/>
      <c r="AA27" s="7"/>
      <c r="AB27" s="7"/>
      <c r="AC27" s="7"/>
    </row>
    <row r="28" spans="1:29" ht="16" customHeight="1">
      <c r="A28" s="33"/>
      <c r="B28" s="28">
        <v>0.90217000000000003</v>
      </c>
      <c r="C28" s="28">
        <v>11.835050000000001</v>
      </c>
      <c r="D28" s="29">
        <f t="shared" si="1"/>
        <v>1.8593000000000003E-8</v>
      </c>
      <c r="E28" s="26">
        <v>2.89618253003223E-8</v>
      </c>
      <c r="F28" s="30">
        <f t="shared" si="2"/>
        <v>1234977036.5956018</v>
      </c>
      <c r="G28" s="32">
        <f t="shared" si="3"/>
        <v>22.961928041422027</v>
      </c>
      <c r="H28" s="31"/>
      <c r="I28" s="31"/>
      <c r="J28" s="31"/>
      <c r="K28" s="29">
        <v>0.71567000000000003</v>
      </c>
      <c r="L28" s="55">
        <v>15.590999999999999</v>
      </c>
      <c r="M28" s="29">
        <f t="shared" si="4"/>
        <v>1.7124999999999999E-8</v>
      </c>
      <c r="N28" s="26">
        <v>1.03218883413742E-7</v>
      </c>
      <c r="O28" s="30">
        <f t="shared" si="5"/>
        <v>10757580256.009335</v>
      </c>
      <c r="P28" s="32">
        <f t="shared" si="6"/>
        <v>184.22356188415984</v>
      </c>
      <c r="Q28" s="31"/>
      <c r="R28" s="2"/>
      <c r="S28" s="29">
        <v>0.59104999999999996</v>
      </c>
      <c r="T28" s="29">
        <v>21.22</v>
      </c>
      <c r="U28" s="29">
        <f t="shared" si="7"/>
        <v>2.1022000000000008E-8</v>
      </c>
      <c r="V28" s="26">
        <v>7.8317005191670603E-7</v>
      </c>
      <c r="W28" s="30">
        <f t="shared" si="9"/>
        <v>186560570683.98093</v>
      </c>
      <c r="X28" s="32">
        <f t="shared" si="8"/>
        <v>3921.8763169186486</v>
      </c>
      <c r="Y28" s="7"/>
      <c r="Z28" s="7"/>
      <c r="AA28" s="7"/>
      <c r="AB28" s="7"/>
      <c r="AC28" s="7"/>
    </row>
    <row r="29" spans="1:29" ht="16" customHeight="1">
      <c r="A29" s="33"/>
      <c r="B29" s="28">
        <v>1.0881000000000001</v>
      </c>
      <c r="C29" s="28">
        <v>9.2192249999999998</v>
      </c>
      <c r="D29" s="29">
        <f t="shared" si="1"/>
        <v>2.2919999999999983E-8</v>
      </c>
      <c r="E29" s="26">
        <v>9.4735484226822602E-7</v>
      </c>
      <c r="F29" s="30">
        <f t="shared" si="2"/>
        <v>6476942.0060529308</v>
      </c>
      <c r="G29" s="32">
        <f t="shared" si="3"/>
        <v>0.14845151077873306</v>
      </c>
      <c r="H29" s="31"/>
      <c r="I29" s="31"/>
      <c r="J29" s="31"/>
      <c r="K29" s="29">
        <v>0.88692000000000004</v>
      </c>
      <c r="L29" s="55">
        <v>13.282</v>
      </c>
      <c r="M29" s="29">
        <f t="shared" si="4"/>
        <v>2.5948000000000002E-8</v>
      </c>
      <c r="N29" s="26">
        <v>1.7785540292855399E-7</v>
      </c>
      <c r="O29" s="30">
        <f t="shared" si="5"/>
        <v>2548759269.1441703</v>
      </c>
      <c r="P29" s="32">
        <f t="shared" si="6"/>
        <v>66.135205515752929</v>
      </c>
      <c r="Q29" s="31"/>
      <c r="R29" s="2"/>
      <c r="S29" s="29">
        <v>0.80127000000000004</v>
      </c>
      <c r="T29" s="29">
        <v>16.62</v>
      </c>
      <c r="U29" s="29">
        <f t="shared" si="7"/>
        <v>2.0482999999999996E-8</v>
      </c>
      <c r="V29" s="26">
        <v>4.2317698852302902E-7</v>
      </c>
      <c r="W29" s="30">
        <f t="shared" si="9"/>
        <v>57947037446.889061</v>
      </c>
      <c r="X29" s="32">
        <f t="shared" si="8"/>
        <v>1186.9291680246283</v>
      </c>
      <c r="Y29" s="7"/>
      <c r="Z29" s="7"/>
      <c r="AA29" s="7"/>
      <c r="AB29" s="7"/>
      <c r="AC29" s="7"/>
    </row>
    <row r="30" spans="1:29" ht="16" customHeight="1">
      <c r="A30" s="33"/>
      <c r="B30" s="28">
        <v>1.3172999999999999</v>
      </c>
      <c r="C30" s="28">
        <v>4.6757249999999999</v>
      </c>
      <c r="D30" s="29">
        <f t="shared" si="1"/>
        <v>2.0470000000000011E-8</v>
      </c>
      <c r="E30" s="26">
        <v>7.3088839568578297E-7</v>
      </c>
      <c r="F30" s="30">
        <f t="shared" si="2"/>
        <v>1670651.6979382271</v>
      </c>
      <c r="G30" s="32">
        <f t="shared" si="3"/>
        <v>3.4198240256795527E-2</v>
      </c>
      <c r="H30" s="31"/>
      <c r="I30" s="31"/>
      <c r="J30" s="31"/>
      <c r="K30" s="29">
        <v>1.1464000000000001</v>
      </c>
      <c r="L30" s="55">
        <v>8.6341999999999999</v>
      </c>
      <c r="M30" s="29">
        <f t="shared" si="4"/>
        <v>1.6799999999999992E-8</v>
      </c>
      <c r="N30" s="26">
        <v>3.88316624009661E-7</v>
      </c>
      <c r="O30" s="30">
        <f t="shared" si="5"/>
        <v>192323657.69708276</v>
      </c>
      <c r="P30" s="32">
        <f t="shared" si="6"/>
        <v>3.2310374493109886</v>
      </c>
      <c r="Q30" s="31"/>
      <c r="R30" s="2"/>
      <c r="S30" s="29">
        <v>1.0061</v>
      </c>
      <c r="T30" s="29">
        <v>9.4600000000000009</v>
      </c>
      <c r="U30" s="29">
        <f t="shared" si="7"/>
        <v>2.550000000000001E-8</v>
      </c>
      <c r="V30" s="26">
        <v>9.2471441309222301E-8</v>
      </c>
      <c r="W30" s="30">
        <f t="shared" si="9"/>
        <v>16483536551.011984</v>
      </c>
      <c r="X30" s="32">
        <f t="shared" si="8"/>
        <v>420.33018205080577</v>
      </c>
      <c r="Y30" s="7"/>
      <c r="Z30" s="7"/>
      <c r="AA30" s="7"/>
      <c r="AB30" s="7"/>
      <c r="AC30" s="7"/>
    </row>
    <row r="31" spans="1:29" ht="16" customHeight="1">
      <c r="A31" s="33"/>
      <c r="B31" s="28">
        <v>1.522</v>
      </c>
      <c r="C31" s="28">
        <v>0.51474450000000005</v>
      </c>
      <c r="D31" s="29">
        <f t="shared" si="1"/>
        <v>1.7199999999999992E-8</v>
      </c>
      <c r="E31" s="26">
        <v>9.6606893301560003E-7</v>
      </c>
      <c r="F31" s="30">
        <f t="shared" si="2"/>
        <v>1770943.0478721275</v>
      </c>
      <c r="G31" s="32">
        <f t="shared" si="3"/>
        <v>3.0460220423400578E-2</v>
      </c>
      <c r="H31" s="31"/>
      <c r="I31" s="31"/>
      <c r="J31" s="31"/>
      <c r="K31" s="29">
        <v>1.3144</v>
      </c>
      <c r="L31" s="55">
        <v>5.0743</v>
      </c>
      <c r="M31" s="29">
        <f t="shared" si="4"/>
        <v>1.8110000000000005E-8</v>
      </c>
      <c r="N31" s="26">
        <v>2.33528710795424E-7</v>
      </c>
      <c r="O31" s="30">
        <f t="shared" si="5"/>
        <v>80355892.864083752</v>
      </c>
      <c r="P31" s="32">
        <f t="shared" si="6"/>
        <v>1.455245219768557</v>
      </c>
      <c r="Q31" s="31"/>
      <c r="R31" s="2"/>
      <c r="S31" s="29">
        <v>1.2611000000000001</v>
      </c>
      <c r="T31" s="29">
        <v>3.18</v>
      </c>
      <c r="U31" s="29">
        <f t="shared" si="7"/>
        <v>1.6289999999999982E-8</v>
      </c>
      <c r="V31" s="26">
        <v>4.3060016458135102E-7</v>
      </c>
      <c r="W31" s="30">
        <f t="shared" si="9"/>
        <v>309580006.80255842</v>
      </c>
      <c r="X31" s="32">
        <f t="shared" si="8"/>
        <v>5.0430583108136711</v>
      </c>
      <c r="Y31" s="7"/>
      <c r="Z31" s="7"/>
      <c r="AA31" s="7"/>
      <c r="AB31" s="7"/>
      <c r="AC31" s="7"/>
    </row>
    <row r="32" spans="1:29" ht="16" customHeight="1">
      <c r="A32" s="33"/>
      <c r="B32" s="28">
        <v>1.694</v>
      </c>
      <c r="C32" s="28">
        <v>-1.3840112499999999</v>
      </c>
      <c r="D32" s="29">
        <f t="shared" si="1"/>
        <v>1.9100000000000006E-8</v>
      </c>
      <c r="E32" s="26">
        <v>6.4244643808172003E-7</v>
      </c>
      <c r="F32" s="30">
        <f t="shared" si="2"/>
        <v>3805431.3938170359</v>
      </c>
      <c r="G32" s="32">
        <f t="shared" si="3"/>
        <v>7.2683739621905413E-2</v>
      </c>
      <c r="H32" s="31"/>
      <c r="I32" s="31"/>
      <c r="J32" s="31"/>
      <c r="K32" s="29">
        <v>1.4955000000000001</v>
      </c>
      <c r="L32" s="55">
        <v>1.6753</v>
      </c>
      <c r="M32" s="29">
        <f t="shared" si="4"/>
        <v>1.2349999999999993E-8</v>
      </c>
      <c r="N32" s="26">
        <v>7.3128641712495203E-7</v>
      </c>
      <c r="O32" s="30">
        <f t="shared" si="5"/>
        <v>6863130.6720859176</v>
      </c>
      <c r="P32" s="32">
        <f t="shared" si="6"/>
        <v>8.4759663800261037E-2</v>
      </c>
      <c r="Q32" s="31"/>
      <c r="R32" s="2"/>
      <c r="S32" s="29">
        <v>1.4239999999999999</v>
      </c>
      <c r="T32" s="29">
        <v>0.63</v>
      </c>
      <c r="U32" s="29">
        <f t="shared" si="7"/>
        <v>2.1050000000000013E-8</v>
      </c>
      <c r="V32" s="26">
        <v>2.80709332371154E-7</v>
      </c>
      <c r="W32" s="30">
        <f t="shared" si="9"/>
        <v>176564215.19179252</v>
      </c>
      <c r="X32" s="32">
        <f t="shared" si="8"/>
        <v>3.7166767297872347</v>
      </c>
      <c r="Y32" s="7"/>
      <c r="Z32" s="7"/>
      <c r="AA32" s="7"/>
      <c r="AB32" s="7"/>
      <c r="AC32" s="7"/>
    </row>
    <row r="33" spans="1:29" ht="16" customHeight="1">
      <c r="A33" s="33"/>
      <c r="B33" s="28">
        <v>1.885</v>
      </c>
      <c r="C33" s="28">
        <v>-2.3040324999999999</v>
      </c>
      <c r="D33" s="32">
        <f t="shared" si="1"/>
        <v>1.7000000000000013E-8</v>
      </c>
      <c r="E33" s="26">
        <v>1.0233384273511199E-6</v>
      </c>
      <c r="F33" s="30">
        <f t="shared" si="2"/>
        <v>2629713.2474276228</v>
      </c>
      <c r="G33" s="32">
        <f t="shared" si="3"/>
        <v>4.4705125206269625E-2</v>
      </c>
      <c r="H33" s="31"/>
      <c r="I33" s="31"/>
      <c r="J33" s="31"/>
      <c r="K33" s="29">
        <v>1.619</v>
      </c>
      <c r="L33" s="55">
        <v>7.8589999999999993E-2</v>
      </c>
      <c r="M33" s="32">
        <f t="shared" si="4"/>
        <v>1.7510000000000003E-8</v>
      </c>
      <c r="N33" s="26">
        <v>1.12008732051958E-6</v>
      </c>
      <c r="O33" s="30">
        <f t="shared" si="5"/>
        <v>2411595.1172011788</v>
      </c>
      <c r="P33" s="32">
        <f t="shared" si="6"/>
        <v>4.2227030502192647E-2</v>
      </c>
      <c r="Q33" s="31"/>
      <c r="R33" s="2"/>
      <c r="S33" s="29">
        <v>1.6345000000000001</v>
      </c>
      <c r="T33" s="29">
        <v>-2.1800000000000002</v>
      </c>
      <c r="U33" s="29">
        <f t="shared" si="7"/>
        <v>1.9469999999999985E-8</v>
      </c>
      <c r="V33" s="26">
        <v>9.8636804914831505E-8</v>
      </c>
      <c r="W33" s="30">
        <f t="shared" si="9"/>
        <v>168896910.75059578</v>
      </c>
      <c r="X33" s="32">
        <f t="shared" si="8"/>
        <v>3.2884228523140973</v>
      </c>
      <c r="Y33" s="7"/>
      <c r="Z33" s="7"/>
      <c r="AA33" s="7"/>
      <c r="AB33" s="7"/>
      <c r="AC33" s="7"/>
    </row>
    <row r="34" spans="1:29" ht="16" customHeight="1">
      <c r="A34" s="33"/>
      <c r="B34" s="28">
        <v>2.0550000000000002</v>
      </c>
      <c r="C34" s="28">
        <v>-2.5514250000000001</v>
      </c>
      <c r="D34" s="29">
        <f t="shared" si="1"/>
        <v>1.5839999999999988E-8</v>
      </c>
      <c r="E34" s="26">
        <v>2.0596769665373801E-7</v>
      </c>
      <c r="F34" s="30">
        <f t="shared" si="2"/>
        <v>10190395.742953403</v>
      </c>
      <c r="G34" s="32">
        <f t="shared" si="3"/>
        <v>0.16141586856838178</v>
      </c>
      <c r="H34" s="31"/>
      <c r="I34" s="31"/>
      <c r="J34" s="31"/>
      <c r="K34" s="29">
        <v>1.7941</v>
      </c>
      <c r="L34" s="55">
        <v>-1.6989000000000001</v>
      </c>
      <c r="M34" s="29">
        <f t="shared" si="4"/>
        <v>2.0799999999999994E-8</v>
      </c>
      <c r="N34" s="26">
        <v>2.1242180120872E-7</v>
      </c>
      <c r="O34" s="30">
        <f t="shared" si="5"/>
        <v>6380303.9973162021</v>
      </c>
      <c r="P34" s="32">
        <f t="shared" si="6"/>
        <v>0.13271032314417697</v>
      </c>
      <c r="Q34" s="31"/>
      <c r="R34" s="2"/>
      <c r="S34" s="29">
        <v>1.8291999999999999</v>
      </c>
      <c r="T34" s="29">
        <v>-4.75</v>
      </c>
      <c r="U34" s="29">
        <f t="shared" si="7"/>
        <v>1.8019999999999992E-8</v>
      </c>
      <c r="V34" s="26">
        <v>6.4621121855667205E-7</v>
      </c>
      <c r="W34" s="30">
        <f t="shared" si="9"/>
        <v>9511051.9310706388</v>
      </c>
      <c r="X34" s="32">
        <f t="shared" si="8"/>
        <v>0.17138915579789282</v>
      </c>
      <c r="Y34" s="7"/>
      <c r="Z34" s="7"/>
      <c r="AA34" s="7"/>
      <c r="AB34" s="7"/>
      <c r="AC34" s="7"/>
    </row>
    <row r="35" spans="1:29" ht="16" customHeight="1">
      <c r="A35" s="33"/>
      <c r="B35" s="28">
        <v>2.2134</v>
      </c>
      <c r="C35" s="28">
        <v>-1.910865</v>
      </c>
      <c r="D35" s="29">
        <f t="shared" si="1"/>
        <v>1.9320000000000004E-8</v>
      </c>
      <c r="E35" s="26">
        <v>2.6637963204357099E-6</v>
      </c>
      <c r="F35" s="30">
        <f t="shared" si="2"/>
        <v>667392.39984626044</v>
      </c>
      <c r="G35" s="32">
        <f t="shared" si="3"/>
        <v>1.2894021165029754E-2</v>
      </c>
      <c r="H35" s="31"/>
      <c r="I35" s="31"/>
      <c r="J35" s="31"/>
      <c r="K35" s="29">
        <v>2.0021</v>
      </c>
      <c r="L35" s="55">
        <v>-2.3532000000000002</v>
      </c>
      <c r="M35" s="29">
        <f t="shared" si="4"/>
        <v>1.9229999999999991E-8</v>
      </c>
      <c r="N35" s="26">
        <v>2.0654286126225799E-7</v>
      </c>
      <c r="O35" s="30">
        <f t="shared" si="5"/>
        <v>5090699.9212539298</v>
      </c>
      <c r="P35" s="32">
        <f t="shared" si="6"/>
        <v>9.789415948571302E-2</v>
      </c>
      <c r="Q35" s="31"/>
      <c r="R35" s="2"/>
      <c r="S35" s="29">
        <v>2.0093999999999999</v>
      </c>
      <c r="T35" s="29">
        <v>-5.54</v>
      </c>
      <c r="U35" s="29">
        <f t="shared" si="7"/>
        <v>2.0990000000000018E-8</v>
      </c>
      <c r="V35" s="26">
        <v>9.9460775023320292E-7</v>
      </c>
      <c r="W35" s="30">
        <f t="shared" si="9"/>
        <v>4548124.211269835</v>
      </c>
      <c r="X35" s="32">
        <f t="shared" si="8"/>
        <v>9.5465127194553911E-2</v>
      </c>
      <c r="Y35" s="7"/>
      <c r="Z35" s="7"/>
      <c r="AA35" s="7"/>
      <c r="AB35" s="7"/>
      <c r="AC35" s="7"/>
    </row>
    <row r="36" spans="1:29" ht="16" customHeight="1">
      <c r="A36" s="33"/>
      <c r="B36" s="28">
        <v>2.4066000000000001</v>
      </c>
      <c r="C36" s="28">
        <v>-1.4829375</v>
      </c>
      <c r="D36" s="29">
        <f t="shared" si="1"/>
        <v>2.4659999999999991E-8</v>
      </c>
      <c r="E36" s="26">
        <v>4.1019426719655201E-6</v>
      </c>
      <c r="F36" s="30">
        <f t="shared" si="2"/>
        <v>624274.15817031963</v>
      </c>
      <c r="G36" s="32">
        <f t="shared" si="3"/>
        <v>1.5394600740480076E-2</v>
      </c>
      <c r="H36" s="31"/>
      <c r="I36" s="31"/>
      <c r="J36" s="31"/>
      <c r="K36" s="29">
        <v>2.1943999999999999</v>
      </c>
      <c r="L36" s="55">
        <v>-1.3136000000000001</v>
      </c>
      <c r="M36" s="29">
        <f t="shared" si="4"/>
        <v>2.4219999999999995E-8</v>
      </c>
      <c r="N36" s="26">
        <v>4.37367586041583E-7</v>
      </c>
      <c r="O36" s="30">
        <f t="shared" si="5"/>
        <v>3598477.6733615426</v>
      </c>
      <c r="P36" s="32">
        <f t="shared" si="6"/>
        <v>8.7155129248816549E-2</v>
      </c>
      <c r="Q36" s="31"/>
      <c r="R36" s="2"/>
      <c r="S36" s="29">
        <v>2.2193000000000001</v>
      </c>
      <c r="T36" s="29">
        <v>-3.34</v>
      </c>
      <c r="U36" s="29">
        <f t="shared" si="7"/>
        <v>2.3959999999999981E-8</v>
      </c>
      <c r="V36" s="26">
        <v>3.6833453959025397E-7</v>
      </c>
      <c r="W36" s="30">
        <f t="shared" si="9"/>
        <v>28837163.789008893</v>
      </c>
      <c r="X36" s="32">
        <f t="shared" si="8"/>
        <v>0.69093844438465257</v>
      </c>
      <c r="Y36" s="7"/>
      <c r="Z36" s="7"/>
      <c r="AA36" s="7"/>
      <c r="AB36" s="7"/>
      <c r="AC36" s="7"/>
    </row>
    <row r="37" spans="1:29" ht="16" customHeight="1">
      <c r="A37" s="33"/>
      <c r="B37" s="28">
        <v>2.6532</v>
      </c>
      <c r="C37" s="28">
        <v>-2.4234599999999999</v>
      </c>
      <c r="D37" s="29">
        <f t="shared" si="1"/>
        <v>2.035E-8</v>
      </c>
      <c r="E37" s="26">
        <v>1.43809655342895E-5</v>
      </c>
      <c r="F37" s="30">
        <f t="shared" si="2"/>
        <v>263245.39060790587</v>
      </c>
      <c r="G37" s="32">
        <f t="shared" si="3"/>
        <v>5.3570436988708845E-3</v>
      </c>
      <c r="H37" s="31"/>
      <c r="I37" s="31"/>
      <c r="J37" s="31"/>
      <c r="K37" s="29">
        <v>2.4365999999999999</v>
      </c>
      <c r="L37" s="55">
        <v>0.98773</v>
      </c>
      <c r="M37" s="29">
        <f t="shared" si="4"/>
        <v>1.8780000000000017E-8</v>
      </c>
      <c r="N37" s="26">
        <v>2.0688237018788001E-7</v>
      </c>
      <c r="O37" s="30">
        <f t="shared" si="5"/>
        <v>18579215.011961453</v>
      </c>
      <c r="P37" s="32">
        <f t="shared" si="6"/>
        <v>0.34891765792463642</v>
      </c>
      <c r="Q37" s="31"/>
      <c r="R37" s="2"/>
      <c r="S37" s="29">
        <v>2.4588999999999999</v>
      </c>
      <c r="T37" s="29">
        <v>0.42</v>
      </c>
      <c r="U37" s="29">
        <f t="shared" si="7"/>
        <v>2.2780000000000023E-8</v>
      </c>
      <c r="V37" s="26">
        <v>7.8400450570112301E-7</v>
      </c>
      <c r="W37" s="30">
        <f t="shared" si="9"/>
        <v>58271332.184505835</v>
      </c>
      <c r="X37" s="32">
        <f t="shared" si="8"/>
        <v>1.3274209471630443</v>
      </c>
      <c r="Y37" s="7"/>
      <c r="Z37" s="7"/>
      <c r="AA37" s="7"/>
      <c r="AB37" s="7"/>
      <c r="AC37" s="7"/>
    </row>
    <row r="38" spans="1:29" ht="16" customHeight="1">
      <c r="A38" s="33"/>
      <c r="B38" s="28">
        <v>2.8567</v>
      </c>
      <c r="C38" s="28">
        <v>-3.4310499999999999</v>
      </c>
      <c r="D38" s="29">
        <f t="shared" si="1"/>
        <v>2.0389999999999996E-8</v>
      </c>
      <c r="E38" s="26">
        <v>3.33207999853753E-5</v>
      </c>
      <c r="F38" s="30">
        <f t="shared" si="2"/>
        <v>138124.72236800432</v>
      </c>
      <c r="G38" s="32">
        <f t="shared" si="3"/>
        <v>2.8163630890836078E-3</v>
      </c>
      <c r="H38" s="31"/>
      <c r="I38" s="31"/>
      <c r="J38" s="31"/>
      <c r="K38" s="29">
        <v>2.6244000000000001</v>
      </c>
      <c r="L38" s="55">
        <v>2.5432999999999999</v>
      </c>
      <c r="M38" s="29">
        <f t="shared" si="4"/>
        <v>1.9260000000000008E-8</v>
      </c>
      <c r="N38" s="26">
        <v>2.8735741528096702E-7</v>
      </c>
      <c r="O38" s="30">
        <f t="shared" si="5"/>
        <v>24459616.333154257</v>
      </c>
      <c r="P38" s="32">
        <f t="shared" si="6"/>
        <v>0.47109221057655121</v>
      </c>
      <c r="Q38" s="31"/>
      <c r="R38" s="2"/>
      <c r="S38" s="29">
        <v>2.6867000000000001</v>
      </c>
      <c r="T38" s="29">
        <v>2.21</v>
      </c>
      <c r="U38" s="29">
        <f t="shared" si="7"/>
        <v>1.438999999999999E-8</v>
      </c>
      <c r="V38" s="26">
        <v>8.1633670821074104E-7</v>
      </c>
      <c r="W38" s="30">
        <f t="shared" si="9"/>
        <v>112079966.99428199</v>
      </c>
      <c r="X38" s="32">
        <f t="shared" si="8"/>
        <v>1.6128307250477167</v>
      </c>
      <c r="Y38" s="7"/>
      <c r="Z38" s="7"/>
      <c r="AA38" s="7"/>
      <c r="AB38" s="7"/>
      <c r="AC38" s="7"/>
    </row>
    <row r="39" spans="1:29" ht="16" customHeight="1">
      <c r="A39" s="33"/>
      <c r="B39" s="28">
        <v>3.0606</v>
      </c>
      <c r="C39" s="28">
        <v>-3.9345249999999998</v>
      </c>
      <c r="D39" s="29">
        <f t="shared" si="1"/>
        <v>2.1320000000000005E-8</v>
      </c>
      <c r="E39" s="26">
        <v>9.5895300530295802E-5</v>
      </c>
      <c r="F39" s="30">
        <f t="shared" si="2"/>
        <v>51102.857456443518</v>
      </c>
      <c r="G39" s="32">
        <f t="shared" si="3"/>
        <v>1.0895129209713761E-3</v>
      </c>
      <c r="H39" s="31"/>
      <c r="I39" s="31"/>
      <c r="J39" s="31"/>
      <c r="K39" s="29">
        <v>2.8170000000000002</v>
      </c>
      <c r="L39" s="55">
        <v>2.9609000000000001</v>
      </c>
      <c r="M39" s="29">
        <f t="shared" si="4"/>
        <v>2.1179999999999975E-8</v>
      </c>
      <c r="N39" s="26">
        <v>3.6410601029576399E-6</v>
      </c>
      <c r="O39" s="30">
        <f t="shared" si="5"/>
        <v>2269926.8276500618</v>
      </c>
      <c r="P39" s="32">
        <f t="shared" si="6"/>
        <v>4.8077050209628255E-2</v>
      </c>
      <c r="Q39" s="31"/>
      <c r="R39" s="2"/>
      <c r="S39" s="29">
        <v>2.8306</v>
      </c>
      <c r="T39" s="29">
        <v>2.1800000000000002</v>
      </c>
      <c r="U39" s="29">
        <f t="shared" si="7"/>
        <v>2.1570000000000001E-8</v>
      </c>
      <c r="V39" s="26">
        <v>5.8581481740645299E-6</v>
      </c>
      <c r="W39" s="30">
        <f t="shared" si="9"/>
        <v>15437672.382782796</v>
      </c>
      <c r="X39" s="32">
        <f t="shared" si="8"/>
        <v>0.33299059329662495</v>
      </c>
      <c r="Y39" s="7"/>
      <c r="Z39" s="7"/>
      <c r="AA39" s="7"/>
      <c r="AB39" s="7"/>
      <c r="AC39" s="7"/>
    </row>
    <row r="40" spans="1:29" ht="16" customHeight="1">
      <c r="A40" s="33"/>
      <c r="B40" s="28">
        <v>3.2738</v>
      </c>
      <c r="C40" s="28">
        <v>-4.0962750000000003</v>
      </c>
      <c r="D40" s="29">
        <f t="shared" si="1"/>
        <v>1.8369999999999995E-8</v>
      </c>
      <c r="E40" s="26">
        <v>2.05393553877803E-4</v>
      </c>
      <c r="F40" s="30">
        <f t="shared" si="2"/>
        <v>24127.997517155047</v>
      </c>
      <c r="G40" s="32">
        <f t="shared" si="3"/>
        <v>4.4323131439013809E-4</v>
      </c>
      <c r="H40" s="31"/>
      <c r="I40" s="31"/>
      <c r="J40" s="31"/>
      <c r="K40" s="29">
        <v>3.0287999999999999</v>
      </c>
      <c r="L40" s="55">
        <v>2.5028000000000001</v>
      </c>
      <c r="M40" s="29">
        <f t="shared" si="4"/>
        <v>1.4950000000000018E-8</v>
      </c>
      <c r="N40" s="26">
        <v>1.9074540093487898E-5</v>
      </c>
      <c r="O40" s="30">
        <f t="shared" si="5"/>
        <v>362738.3926445758</v>
      </c>
      <c r="P40" s="32">
        <f t="shared" si="6"/>
        <v>5.4229389700364145E-3</v>
      </c>
      <c r="Q40" s="31"/>
      <c r="R40" s="2"/>
      <c r="S40" s="29">
        <v>3.0463</v>
      </c>
      <c r="T40" s="29">
        <v>2.2999999999999998</v>
      </c>
      <c r="U40" s="29">
        <f t="shared" si="7"/>
        <v>2.0670000000000009E-8</v>
      </c>
      <c r="V40" s="26">
        <v>2.1334361943174599E-5</v>
      </c>
      <c r="W40" s="30">
        <f t="shared" si="9"/>
        <v>4441023.8417465938</v>
      </c>
      <c r="X40" s="32">
        <f t="shared" si="8"/>
        <v>9.1795962808902135E-2</v>
      </c>
      <c r="Y40" s="7"/>
      <c r="Z40" s="7"/>
      <c r="AA40" s="7"/>
      <c r="AB40" s="7"/>
      <c r="AC40" s="7"/>
    </row>
    <row r="41" spans="1:29" ht="16" customHeight="1">
      <c r="A41" s="33"/>
      <c r="B41" s="28">
        <v>3.4575</v>
      </c>
      <c r="C41" s="28">
        <v>-4.1251499999999997</v>
      </c>
      <c r="D41" s="29">
        <f t="shared" si="1"/>
        <v>2.0319999999999983E-8</v>
      </c>
      <c r="E41" s="26">
        <v>2.0694835091762101E-4</v>
      </c>
      <c r="F41" s="30">
        <f t="shared" si="2"/>
        <v>23904.950391320748</v>
      </c>
      <c r="G41" s="32">
        <f t="shared" si="3"/>
        <v>4.8574859195163722E-4</v>
      </c>
      <c r="H41" s="31"/>
      <c r="I41" s="31"/>
      <c r="J41" s="31"/>
      <c r="K41" s="29">
        <v>3.1783000000000001</v>
      </c>
      <c r="L41" s="55">
        <v>2.2730999999999999</v>
      </c>
      <c r="M41" s="29">
        <f t="shared" si="4"/>
        <v>1.3759999999999994E-8</v>
      </c>
      <c r="N41" s="26">
        <v>3.3756361830860697E-5</v>
      </c>
      <c r="O41" s="30">
        <f t="shared" si="5"/>
        <v>187493.57292361301</v>
      </c>
      <c r="P41" s="32">
        <f t="shared" si="6"/>
        <v>2.579911563428914E-3</v>
      </c>
      <c r="Q41" s="31"/>
      <c r="R41" s="2"/>
      <c r="S41" s="29">
        <v>3.2530000000000001</v>
      </c>
      <c r="T41" s="29">
        <v>2.65</v>
      </c>
      <c r="U41" s="29">
        <f t="shared" si="7"/>
        <v>2.2259999999999989E-8</v>
      </c>
      <c r="V41" s="26">
        <v>5.8670582085507398E-5</v>
      </c>
      <c r="W41" s="30">
        <f t="shared" si="9"/>
        <v>1849775.7854667939</v>
      </c>
      <c r="X41" s="32">
        <f t="shared" si="8"/>
        <v>4.1176008984490815E-2</v>
      </c>
      <c r="Y41" s="7"/>
      <c r="Z41" s="7"/>
      <c r="AA41" s="7"/>
      <c r="AB41" s="7"/>
      <c r="AC41" s="7"/>
    </row>
    <row r="42" spans="1:29" ht="16" customHeight="1">
      <c r="A42" s="33"/>
      <c r="B42" s="28">
        <v>3.6606999999999998</v>
      </c>
      <c r="C42" s="28">
        <v>-4.1206500000000004</v>
      </c>
      <c r="D42" s="29">
        <f t="shared" si="1"/>
        <v>2.3050000000000014E-8</v>
      </c>
      <c r="E42" s="26">
        <v>2.0832431189770999E-4</v>
      </c>
      <c r="F42" s="30">
        <f t="shared" si="2"/>
        <v>23572.871015243712</v>
      </c>
      <c r="G42" s="32">
        <f t="shared" si="3"/>
        <v>5.4335467690136787E-4</v>
      </c>
      <c r="H42" s="31"/>
      <c r="I42" s="31"/>
      <c r="J42" s="31"/>
      <c r="K42" s="29">
        <v>3.3159000000000001</v>
      </c>
      <c r="L42" s="55">
        <v>2.1844999999999999</v>
      </c>
      <c r="M42" s="29">
        <f t="shared" si="4"/>
        <v>1.6120000000000001E-8</v>
      </c>
      <c r="N42" s="26">
        <v>5.8324469446994501E-5</v>
      </c>
      <c r="O42" s="30">
        <f t="shared" si="5"/>
        <v>104848.3705253105</v>
      </c>
      <c r="P42" s="32">
        <f t="shared" si="6"/>
        <v>1.6901557328680055E-3</v>
      </c>
      <c r="Q42" s="31"/>
      <c r="R42" s="2"/>
      <c r="S42" s="29">
        <v>3.4756</v>
      </c>
      <c r="T42" s="29">
        <v>2.94</v>
      </c>
      <c r="U42" s="29">
        <f t="shared" si="7"/>
        <v>1.8840000000000012E-8</v>
      </c>
      <c r="V42" s="26">
        <v>8.8248503130267306E-5</v>
      </c>
      <c r="W42" s="30">
        <f t="shared" si="9"/>
        <v>1376253.9151040914</v>
      </c>
      <c r="X42" s="32">
        <f t="shared" si="8"/>
        <v>2.5928623760561098E-2</v>
      </c>
      <c r="Y42" s="7"/>
      <c r="Z42" s="7"/>
      <c r="AA42" s="7"/>
      <c r="AB42" s="7"/>
      <c r="AC42" s="7"/>
    </row>
    <row r="43" spans="1:29" ht="16" customHeight="1">
      <c r="A43" s="33"/>
      <c r="B43" s="28">
        <v>3.8912</v>
      </c>
      <c r="C43" s="28">
        <v>-4.1016750000000002</v>
      </c>
      <c r="D43" s="29">
        <f t="shared" si="1"/>
        <v>2.0630000000000013E-8</v>
      </c>
      <c r="E43" s="26">
        <v>2.0820946542683E-4</v>
      </c>
      <c r="F43" s="30">
        <f t="shared" si="2"/>
        <v>23859.237651062846</v>
      </c>
      <c r="G43" s="32">
        <f t="shared" si="3"/>
        <v>4.9221607274142678E-4</v>
      </c>
      <c r="H43" s="31"/>
      <c r="I43" s="31"/>
      <c r="J43" s="31"/>
      <c r="K43" s="29">
        <v>3.4771000000000001</v>
      </c>
      <c r="L43" s="55">
        <v>2.1993</v>
      </c>
      <c r="M43" s="29">
        <f t="shared" si="4"/>
        <v>1.9260000000000008E-8</v>
      </c>
      <c r="N43" s="26">
        <v>7.7803884172327097E-5</v>
      </c>
      <c r="O43" s="30">
        <f t="shared" si="5"/>
        <v>79050.582871328996</v>
      </c>
      <c r="P43" s="32">
        <f t="shared" si="6"/>
        <v>1.5225142261017972E-3</v>
      </c>
      <c r="Q43" s="31"/>
      <c r="R43" s="2"/>
      <c r="S43" s="29">
        <v>3.6640000000000001</v>
      </c>
      <c r="T43" s="29">
        <v>3.05</v>
      </c>
      <c r="U43" s="29">
        <f t="shared" si="7"/>
        <v>2.172999999999998E-8</v>
      </c>
      <c r="V43" s="26">
        <v>9.1056088625365798E-5</v>
      </c>
      <c r="W43" s="30">
        <f t="shared" si="9"/>
        <v>1391978.3026255798</v>
      </c>
      <c r="X43" s="32">
        <f t="shared" si="8"/>
        <v>3.0247688516053819E-2</v>
      </c>
      <c r="Y43" s="7"/>
      <c r="Z43" s="7"/>
      <c r="AA43" s="7"/>
      <c r="AB43" s="7"/>
      <c r="AC43" s="7"/>
    </row>
    <row r="44" spans="1:29" ht="16" customHeight="1">
      <c r="A44" s="33"/>
      <c r="B44" s="28">
        <v>4.0975000000000001</v>
      </c>
      <c r="C44" s="28">
        <v>-4.1313750000000002</v>
      </c>
      <c r="D44" s="29">
        <f>D43</f>
        <v>2.0630000000000013E-8</v>
      </c>
      <c r="E44" s="26">
        <v>2.0842588288351099E-4</v>
      </c>
      <c r="F44" s="30">
        <f t="shared" si="2"/>
        <v>4797.8686052101266</v>
      </c>
      <c r="G44" s="35">
        <f t="shared" si="3"/>
        <v>9.898002932548497E-5</v>
      </c>
      <c r="H44" s="31"/>
      <c r="I44" s="31"/>
      <c r="J44" s="31"/>
      <c r="K44" s="29">
        <v>3.6697000000000002</v>
      </c>
      <c r="L44" s="55">
        <v>2.1945999999999999</v>
      </c>
      <c r="M44" s="29">
        <f>M43</f>
        <v>1.9260000000000008E-8</v>
      </c>
      <c r="N44" s="26">
        <v>8.3576485381559802E-5</v>
      </c>
      <c r="O44" s="30">
        <f t="shared" si="5"/>
        <v>73456.507866457803</v>
      </c>
      <c r="P44" s="32">
        <f t="shared" si="6"/>
        <v>1.4147723415079778E-3</v>
      </c>
      <c r="Q44" s="31"/>
      <c r="R44" s="2"/>
      <c r="S44" s="29">
        <v>3.8813</v>
      </c>
      <c r="T44" s="29">
        <v>3.06</v>
      </c>
      <c r="U44" s="29">
        <f t="shared" si="7"/>
        <v>1.754000000000002E-8</v>
      </c>
      <c r="V44" s="26">
        <v>9.1699182462769602E-5</v>
      </c>
      <c r="W44" s="30">
        <f t="shared" si="9"/>
        <v>1387589.619463542</v>
      </c>
      <c r="X44" s="32">
        <f t="shared" si="8"/>
        <v>2.4338321925390555E-2</v>
      </c>
      <c r="Y44" s="7"/>
      <c r="Z44" s="7"/>
      <c r="AA44" s="7"/>
      <c r="AB44" s="7"/>
      <c r="AC44" s="7"/>
    </row>
    <row r="45" spans="1:29" ht="16" customHeight="1">
      <c r="A45" s="33"/>
      <c r="B45" s="33"/>
      <c r="C45" s="40"/>
      <c r="D45" s="41"/>
      <c r="E45" s="34" t="s">
        <v>15</v>
      </c>
      <c r="F45" s="39" t="s">
        <v>11</v>
      </c>
      <c r="G45" s="42">
        <f>SUM(G6:G44)</f>
        <v>81.943023684365073</v>
      </c>
      <c r="H45" s="41"/>
      <c r="I45" s="31"/>
      <c r="J45" s="31"/>
      <c r="K45" s="31"/>
      <c r="L45" s="31"/>
      <c r="M45" s="31"/>
      <c r="N45" s="34" t="s">
        <v>14</v>
      </c>
      <c r="O45" s="43"/>
      <c r="P45" s="43"/>
      <c r="Q45" s="31"/>
      <c r="R45" s="2"/>
      <c r="S45" s="29">
        <v>4.0567000000000002</v>
      </c>
      <c r="T45" s="29">
        <v>3.08</v>
      </c>
      <c r="U45" s="29">
        <f>(S45-S44)*J$2</f>
        <v>1.754000000000002E-8</v>
      </c>
      <c r="V45" s="26">
        <v>9.1841179899201903E-5</v>
      </c>
      <c r="W45" s="30">
        <f t="shared" si="9"/>
        <v>1396237.023801967</v>
      </c>
      <c r="X45" s="35">
        <f t="shared" si="8"/>
        <v>2.4489997397486529E-2</v>
      </c>
      <c r="Y45" s="7"/>
      <c r="Z45" s="7"/>
      <c r="AA45" s="7"/>
      <c r="AB45" s="7"/>
      <c r="AC45" s="7"/>
    </row>
    <row r="46" spans="1:29" ht="16" customHeight="1">
      <c r="A46" s="33"/>
      <c r="B46" s="33"/>
      <c r="C46" s="40"/>
      <c r="D46" s="41"/>
      <c r="E46" s="44"/>
      <c r="F46" s="39" t="s">
        <v>11</v>
      </c>
      <c r="G46" s="42"/>
      <c r="H46" s="41"/>
      <c r="I46" s="31"/>
      <c r="J46" s="31"/>
      <c r="K46" s="31"/>
      <c r="L46" s="38"/>
      <c r="M46" s="41"/>
      <c r="N46" s="44"/>
      <c r="O46" s="39" t="s">
        <v>11</v>
      </c>
      <c r="P46" s="45">
        <f>SUM(P6:P44)</f>
        <v>44529.86493357554</v>
      </c>
      <c r="Q46" s="41"/>
      <c r="R46" s="2"/>
      <c r="S46" s="2"/>
      <c r="T46" s="3"/>
      <c r="U46" s="5"/>
      <c r="V46" s="21"/>
      <c r="W46" s="9" t="s">
        <v>11</v>
      </c>
      <c r="X46" s="10">
        <f>SUM(X6:X45)</f>
        <v>99410.987490605301</v>
      </c>
      <c r="Y46" s="7"/>
      <c r="Z46" s="7"/>
      <c r="AA46" s="7"/>
      <c r="AB46" s="7"/>
      <c r="AC46" s="7"/>
    </row>
    <row r="47" spans="1:29" ht="15.25" customHeight="1">
      <c r="A47" s="2"/>
      <c r="B47" s="2"/>
      <c r="C47" s="3"/>
      <c r="D47" s="5"/>
      <c r="E47" s="21"/>
      <c r="F47" s="9" t="s">
        <v>12</v>
      </c>
      <c r="G47" s="11">
        <f>1/G45</f>
        <v>1.2203601417637246E-2</v>
      </c>
      <c r="H47" s="5"/>
      <c r="I47" s="2"/>
      <c r="J47" s="2"/>
      <c r="K47" s="2"/>
      <c r="L47" s="3"/>
      <c r="M47" s="5"/>
      <c r="N47" s="21"/>
      <c r="O47" s="9" t="s">
        <v>11</v>
      </c>
      <c r="P47" s="10"/>
      <c r="Q47" s="5"/>
      <c r="R47" s="2"/>
      <c r="S47" s="2"/>
      <c r="T47" s="3"/>
      <c r="U47" s="5"/>
      <c r="V47" s="21"/>
      <c r="W47" s="9" t="s">
        <v>11</v>
      </c>
      <c r="X47" s="10"/>
      <c r="Y47" s="7"/>
      <c r="Z47" s="7"/>
      <c r="AA47" s="7"/>
      <c r="AB47" s="7"/>
      <c r="AC47" s="7"/>
    </row>
    <row r="48" spans="1:29" ht="15.25" customHeight="1">
      <c r="A48" s="2"/>
      <c r="B48" s="2"/>
      <c r="C48" s="3"/>
      <c r="D48" s="5"/>
      <c r="E48" s="21"/>
      <c r="F48" s="9" t="s">
        <v>12</v>
      </c>
      <c r="G48" s="11"/>
      <c r="H48" s="5"/>
      <c r="I48" s="2"/>
      <c r="J48" s="2"/>
      <c r="K48" s="2"/>
      <c r="L48" s="3"/>
      <c r="M48" s="5"/>
      <c r="N48" s="21"/>
      <c r="O48" s="9" t="s">
        <v>12</v>
      </c>
      <c r="P48" s="11">
        <f>1/P46</f>
        <v>2.2456838831460266E-5</v>
      </c>
      <c r="Q48" s="5"/>
      <c r="R48" s="2"/>
      <c r="S48" s="2"/>
      <c r="T48" s="3"/>
      <c r="U48" s="5"/>
      <c r="V48" s="21"/>
      <c r="W48" s="9" t="s">
        <v>12</v>
      </c>
      <c r="X48" s="11">
        <f>1/X46</f>
        <v>1.0059250242278335E-5</v>
      </c>
      <c r="Y48" s="7"/>
      <c r="Z48" s="7"/>
      <c r="AA48" s="7"/>
      <c r="AB48" s="7"/>
      <c r="AC48" s="7"/>
    </row>
    <row r="49" spans="1:29" ht="15.25" customHeight="1">
      <c r="A49" s="2"/>
      <c r="B49" s="2"/>
      <c r="C49" s="2"/>
      <c r="D49" s="2"/>
      <c r="E49" s="2"/>
      <c r="F49" s="7"/>
      <c r="G49" s="7"/>
      <c r="H49" s="2"/>
      <c r="I49" s="2"/>
      <c r="J49" s="2"/>
      <c r="K49" s="2"/>
      <c r="L49" s="3"/>
      <c r="M49" s="5"/>
      <c r="N49" s="4"/>
      <c r="O49" s="9" t="s">
        <v>12</v>
      </c>
      <c r="P49" s="11"/>
      <c r="Q49" s="5"/>
      <c r="R49" s="2"/>
      <c r="S49" s="2"/>
      <c r="T49" s="3"/>
      <c r="U49" s="5"/>
      <c r="V49" s="4"/>
      <c r="W49" s="22" t="s">
        <v>12</v>
      </c>
      <c r="X49" s="23"/>
      <c r="Y49" s="7"/>
      <c r="Z49" s="7"/>
      <c r="AA49" s="7"/>
      <c r="AB49" s="7"/>
      <c r="AC49" s="7"/>
    </row>
    <row r="50" spans="1:29" ht="15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7"/>
      <c r="P50" s="7"/>
      <c r="Q50" s="2"/>
      <c r="R50" s="2"/>
      <c r="S50" s="2"/>
      <c r="T50" s="3"/>
      <c r="U50" s="3"/>
      <c r="V50" s="3"/>
      <c r="W50" s="3"/>
      <c r="X50" s="3"/>
      <c r="Y50" s="3"/>
      <c r="Z50" s="7"/>
      <c r="AA50" s="7"/>
      <c r="AB50" s="7"/>
      <c r="AC50" s="7"/>
    </row>
    <row r="51" spans="1:29" ht="16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6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6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6" customHeight="1">
      <c r="A54" s="2"/>
      <c r="B54" s="2"/>
      <c r="C54" s="2"/>
      <c r="D54" s="2"/>
      <c r="E54" s="24" t="s">
        <v>16</v>
      </c>
      <c r="F54" s="2"/>
      <c r="G54" s="2"/>
      <c r="H54" s="2"/>
      <c r="I54" s="2"/>
      <c r="J54" s="2"/>
      <c r="K54" s="2"/>
      <c r="L54" s="2"/>
      <c r="M54" s="2"/>
      <c r="N54" s="24" t="s">
        <v>16</v>
      </c>
      <c r="O54" s="2"/>
      <c r="P54" s="2"/>
      <c r="Q54" s="2"/>
      <c r="R54" s="2"/>
      <c r="S54" s="2"/>
      <c r="T54" s="2"/>
      <c r="U54" s="2"/>
      <c r="V54" s="24" t="s">
        <v>16</v>
      </c>
      <c r="W54" s="2"/>
      <c r="X54" s="2"/>
      <c r="Y54" s="2"/>
      <c r="Z54" s="2"/>
      <c r="AA54" s="2"/>
      <c r="AB54" s="2"/>
      <c r="AC54" s="2"/>
    </row>
    <row r="55" spans="1:29" ht="16" customHeight="1">
      <c r="A55" s="2"/>
      <c r="B55" s="2"/>
      <c r="C55" s="2"/>
      <c r="D55" s="2"/>
      <c r="E55" s="24" t="s">
        <v>96</v>
      </c>
      <c r="F55" s="2"/>
      <c r="G55" s="2"/>
      <c r="H55" s="2"/>
      <c r="I55" s="2"/>
      <c r="J55" s="2"/>
      <c r="K55" s="2"/>
      <c r="L55" s="2"/>
      <c r="M55" s="2"/>
      <c r="N55" s="24" t="s">
        <v>57</v>
      </c>
      <c r="O55" s="2"/>
      <c r="P55" s="2"/>
      <c r="Q55" s="2"/>
      <c r="R55" s="2"/>
      <c r="S55" s="2"/>
      <c r="T55" s="2"/>
      <c r="U55" s="2"/>
      <c r="V55" s="24" t="s">
        <v>17</v>
      </c>
      <c r="W55" s="2"/>
      <c r="X55" s="2"/>
      <c r="Y55" s="2"/>
      <c r="Z55" s="2"/>
      <c r="AA55" s="2"/>
      <c r="AB55" s="2"/>
      <c r="AC55" s="2"/>
    </row>
    <row r="56" spans="1:29" ht="16" customHeight="1">
      <c r="A56" s="2"/>
      <c r="B56" s="2"/>
      <c r="C56" s="2"/>
      <c r="D56" s="2"/>
      <c r="E56" s="24" t="s">
        <v>97</v>
      </c>
      <c r="F56" s="2"/>
      <c r="G56" s="2"/>
      <c r="H56" s="2"/>
      <c r="I56" s="2"/>
      <c r="J56" s="2"/>
      <c r="K56" s="2"/>
      <c r="L56" s="2"/>
      <c r="M56" s="2"/>
      <c r="N56" s="24" t="s">
        <v>58</v>
      </c>
      <c r="O56" s="2"/>
      <c r="P56" s="2"/>
      <c r="Q56" s="2"/>
      <c r="R56" s="2"/>
      <c r="S56" s="2"/>
      <c r="T56" s="2"/>
      <c r="U56" s="2"/>
      <c r="V56" s="24" t="s">
        <v>18</v>
      </c>
      <c r="W56" s="2"/>
      <c r="X56" s="2"/>
      <c r="Y56" s="2"/>
      <c r="Z56" s="2"/>
      <c r="AA56" s="2"/>
      <c r="AB56" s="2"/>
      <c r="AC56" s="2"/>
    </row>
    <row r="57" spans="1:29" ht="16" customHeight="1">
      <c r="A57" s="2"/>
      <c r="B57" s="2"/>
      <c r="C57" s="2"/>
      <c r="D57" s="2"/>
      <c r="E57" s="24" t="s">
        <v>98</v>
      </c>
      <c r="F57" s="2"/>
      <c r="G57" s="2"/>
      <c r="H57" s="2"/>
      <c r="I57" s="2"/>
      <c r="J57" s="2"/>
      <c r="K57" s="2"/>
      <c r="L57" s="2"/>
      <c r="M57" s="2"/>
      <c r="N57" s="24" t="s">
        <v>59</v>
      </c>
      <c r="O57" s="2"/>
      <c r="P57" s="2"/>
      <c r="Q57" s="2"/>
      <c r="R57" s="2"/>
      <c r="S57" s="2"/>
      <c r="T57" s="2"/>
      <c r="U57" s="2"/>
      <c r="V57" s="24" t="s">
        <v>19</v>
      </c>
      <c r="W57" s="2"/>
      <c r="X57" s="2"/>
      <c r="Y57" s="2"/>
      <c r="Z57" s="2"/>
      <c r="AA57" s="2"/>
      <c r="AB57" s="2"/>
      <c r="AC57" s="2"/>
    </row>
    <row r="58" spans="1:29" ht="16" customHeight="1">
      <c r="A58" s="2"/>
      <c r="B58" s="2"/>
      <c r="C58" s="2"/>
      <c r="D58" s="2"/>
      <c r="E58" s="24" t="s">
        <v>99</v>
      </c>
      <c r="F58" s="2"/>
      <c r="G58" s="2"/>
      <c r="H58" s="2"/>
      <c r="I58" s="2"/>
      <c r="J58" s="2"/>
      <c r="K58" s="2"/>
      <c r="L58" s="2"/>
      <c r="M58" s="2"/>
      <c r="N58" s="24" t="s">
        <v>60</v>
      </c>
      <c r="O58" s="2"/>
      <c r="P58" s="2"/>
      <c r="Q58" s="2"/>
      <c r="R58" s="2"/>
      <c r="S58" s="2"/>
      <c r="T58" s="2"/>
      <c r="U58" s="2"/>
      <c r="V58" s="24" t="s">
        <v>20</v>
      </c>
      <c r="W58" s="2"/>
      <c r="X58" s="2"/>
      <c r="Y58" s="2"/>
      <c r="Z58" s="2"/>
      <c r="AA58" s="2"/>
      <c r="AB58" s="2"/>
      <c r="AC58" s="2"/>
    </row>
    <row r="59" spans="1:29" ht="16" customHeight="1">
      <c r="A59" s="2"/>
      <c r="B59" s="2"/>
      <c r="C59" s="2"/>
      <c r="D59" s="2"/>
      <c r="E59" s="24" t="s">
        <v>100</v>
      </c>
      <c r="F59" s="2"/>
      <c r="G59" s="2"/>
      <c r="H59" s="2"/>
      <c r="I59" s="2"/>
      <c r="J59" s="2"/>
      <c r="K59" s="2"/>
      <c r="L59" s="2"/>
      <c r="M59" s="2"/>
      <c r="N59" s="24" t="s">
        <v>61</v>
      </c>
      <c r="O59" s="2"/>
      <c r="P59" s="2"/>
      <c r="Q59" s="2"/>
      <c r="R59" s="2"/>
      <c r="S59" s="2"/>
      <c r="T59" s="2"/>
      <c r="U59" s="2"/>
      <c r="V59" s="24" t="s">
        <v>21</v>
      </c>
      <c r="W59" s="2"/>
      <c r="X59" s="2"/>
      <c r="Y59" s="2"/>
      <c r="Z59" s="2"/>
      <c r="AA59" s="2"/>
      <c r="AB59" s="2"/>
      <c r="AC59" s="2"/>
    </row>
    <row r="60" spans="1:29" ht="16" customHeight="1">
      <c r="A60" s="2"/>
      <c r="B60" s="2"/>
      <c r="C60" s="2"/>
      <c r="D60" s="2"/>
      <c r="E60" s="24" t="s">
        <v>101</v>
      </c>
      <c r="F60" s="2"/>
      <c r="G60" s="2"/>
      <c r="H60" s="2"/>
      <c r="I60" s="2"/>
      <c r="J60" s="2"/>
      <c r="K60" s="2"/>
      <c r="L60" s="2"/>
      <c r="M60" s="2"/>
      <c r="N60" s="24" t="s">
        <v>62</v>
      </c>
      <c r="O60" s="2"/>
      <c r="P60" s="2"/>
      <c r="Q60" s="2"/>
      <c r="R60" s="2"/>
      <c r="S60" s="2"/>
      <c r="T60" s="2"/>
      <c r="U60" s="2"/>
      <c r="V60" s="24" t="s">
        <v>22</v>
      </c>
      <c r="W60" s="2"/>
      <c r="X60" s="2"/>
      <c r="Y60" s="2"/>
      <c r="Z60" s="2"/>
      <c r="AA60" s="2"/>
      <c r="AB60" s="2"/>
      <c r="AC60" s="2"/>
    </row>
    <row r="61" spans="1:29" ht="16" customHeight="1">
      <c r="A61" s="2"/>
      <c r="B61" s="2"/>
      <c r="C61" s="2"/>
      <c r="D61" s="2"/>
      <c r="E61" s="24" t="s">
        <v>102</v>
      </c>
      <c r="F61" s="2"/>
      <c r="G61" s="2"/>
      <c r="H61" s="2"/>
      <c r="I61" s="2"/>
      <c r="J61" s="2"/>
      <c r="K61" s="2"/>
      <c r="L61" s="2"/>
      <c r="M61" s="2"/>
      <c r="N61" s="24" t="s">
        <v>63</v>
      </c>
      <c r="O61" s="2"/>
      <c r="P61" s="2"/>
      <c r="Q61" s="2"/>
      <c r="R61" s="2"/>
      <c r="S61" s="2"/>
      <c r="T61" s="2"/>
      <c r="U61" s="2"/>
      <c r="V61" s="24" t="s">
        <v>23</v>
      </c>
      <c r="W61" s="2"/>
      <c r="X61" s="2"/>
      <c r="Y61" s="2"/>
      <c r="Z61" s="2"/>
      <c r="AA61" s="2"/>
      <c r="AB61" s="2"/>
      <c r="AC61" s="2"/>
    </row>
    <row r="62" spans="1:29" ht="16" customHeight="1">
      <c r="A62" s="2"/>
      <c r="B62" s="2"/>
      <c r="C62" s="2"/>
      <c r="D62" s="2"/>
      <c r="E62" s="24" t="s">
        <v>103</v>
      </c>
      <c r="F62" s="2"/>
      <c r="G62" s="2"/>
      <c r="H62" s="2"/>
      <c r="I62" s="2"/>
      <c r="J62" s="2"/>
      <c r="K62" s="2"/>
      <c r="L62" s="2"/>
      <c r="M62" s="2"/>
      <c r="N62" s="24" t="s">
        <v>64</v>
      </c>
      <c r="O62" s="2"/>
      <c r="P62" s="2"/>
      <c r="Q62" s="2"/>
      <c r="R62" s="2"/>
      <c r="S62" s="2"/>
      <c r="T62" s="2"/>
      <c r="U62" s="2"/>
      <c r="V62" s="24" t="s">
        <v>24</v>
      </c>
      <c r="W62" s="2"/>
      <c r="X62" s="2"/>
      <c r="Y62" s="2"/>
      <c r="Z62" s="2"/>
      <c r="AA62" s="2"/>
      <c r="AB62" s="2"/>
      <c r="AC62" s="2"/>
    </row>
    <row r="63" spans="1:29" ht="16" customHeight="1">
      <c r="A63" s="2"/>
      <c r="B63" s="2"/>
      <c r="C63" s="2"/>
      <c r="D63" s="2"/>
      <c r="E63" s="24" t="s">
        <v>104</v>
      </c>
      <c r="F63" s="2"/>
      <c r="G63" s="2"/>
      <c r="H63" s="2"/>
      <c r="I63" s="2"/>
      <c r="J63" s="2"/>
      <c r="K63" s="2"/>
      <c r="L63" s="2"/>
      <c r="M63" s="2"/>
      <c r="N63" s="24" t="s">
        <v>65</v>
      </c>
      <c r="O63" s="2"/>
      <c r="P63" s="2"/>
      <c r="Q63" s="2"/>
      <c r="R63" s="2"/>
      <c r="S63" s="2"/>
      <c r="T63" s="2"/>
      <c r="U63" s="2"/>
      <c r="V63" s="24" t="s">
        <v>25</v>
      </c>
      <c r="W63" s="2"/>
      <c r="X63" s="2"/>
      <c r="Y63" s="2"/>
      <c r="Z63" s="2"/>
      <c r="AA63" s="2"/>
      <c r="AB63" s="2"/>
      <c r="AC63" s="2"/>
    </row>
    <row r="64" spans="1:29" ht="16" customHeight="1">
      <c r="A64" s="2"/>
      <c r="B64" s="2"/>
      <c r="C64" s="2"/>
      <c r="D64" s="2"/>
      <c r="E64" s="24" t="s">
        <v>105</v>
      </c>
      <c r="F64" s="2"/>
      <c r="G64" s="2"/>
      <c r="H64" s="2"/>
      <c r="I64" s="2"/>
      <c r="J64" s="2"/>
      <c r="K64" s="2"/>
      <c r="L64" s="2"/>
      <c r="M64" s="2"/>
      <c r="N64" s="24" t="s">
        <v>66</v>
      </c>
      <c r="O64" s="2"/>
      <c r="P64" s="2"/>
      <c r="Q64" s="2"/>
      <c r="R64" s="2"/>
      <c r="S64" s="2"/>
      <c r="T64" s="2"/>
      <c r="U64" s="2"/>
      <c r="V64" s="24" t="s">
        <v>26</v>
      </c>
      <c r="W64" s="2"/>
      <c r="X64" s="2"/>
      <c r="Y64" s="2"/>
      <c r="Z64" s="2"/>
      <c r="AA64" s="2"/>
      <c r="AB64" s="2"/>
      <c r="AC64" s="2"/>
    </row>
    <row r="65" spans="1:29" ht="16" customHeight="1">
      <c r="A65" s="2"/>
      <c r="B65" s="2"/>
      <c r="C65" s="2"/>
      <c r="D65" s="2"/>
      <c r="E65" s="24" t="s">
        <v>106</v>
      </c>
      <c r="F65" s="2"/>
      <c r="G65" s="2"/>
      <c r="H65" s="2"/>
      <c r="I65" s="2"/>
      <c r="J65" s="2"/>
      <c r="K65" s="2"/>
      <c r="L65" s="2"/>
      <c r="M65" s="2"/>
      <c r="N65" s="24" t="s">
        <v>67</v>
      </c>
      <c r="O65" s="2"/>
      <c r="P65" s="2"/>
      <c r="Q65" s="2"/>
      <c r="R65" s="2"/>
      <c r="S65" s="2"/>
      <c r="T65" s="2"/>
      <c r="U65" s="2"/>
      <c r="V65" s="24" t="s">
        <v>27</v>
      </c>
      <c r="W65" s="2"/>
      <c r="X65" s="2"/>
      <c r="Y65" s="2"/>
      <c r="Z65" s="2"/>
      <c r="AA65" s="2"/>
      <c r="AB65" s="2"/>
      <c r="AC65" s="2"/>
    </row>
    <row r="66" spans="1:29" ht="16" customHeight="1">
      <c r="A66" s="2"/>
      <c r="B66" s="2"/>
      <c r="C66" s="2"/>
      <c r="D66" s="2"/>
      <c r="E66" s="24" t="s">
        <v>107</v>
      </c>
      <c r="F66" s="2"/>
      <c r="G66" s="2"/>
      <c r="H66" s="2"/>
      <c r="I66" s="2"/>
      <c r="J66" s="2"/>
      <c r="K66" s="2"/>
      <c r="L66" s="2"/>
      <c r="M66" s="2"/>
      <c r="N66" s="24" t="s">
        <v>68</v>
      </c>
      <c r="O66" s="2"/>
      <c r="P66" s="2"/>
      <c r="Q66" s="2"/>
      <c r="R66" s="2"/>
      <c r="S66" s="2"/>
      <c r="T66" s="2"/>
      <c r="U66" s="2"/>
      <c r="V66" s="24" t="s">
        <v>28</v>
      </c>
      <c r="W66" s="2"/>
      <c r="X66" s="2"/>
      <c r="Y66" s="2"/>
      <c r="Z66" s="2"/>
      <c r="AA66" s="2"/>
      <c r="AB66" s="2"/>
      <c r="AC66" s="2"/>
    </row>
    <row r="67" spans="1:29" ht="16" customHeight="1">
      <c r="A67" s="2"/>
      <c r="B67" s="2"/>
      <c r="C67" s="2"/>
      <c r="D67" s="2"/>
      <c r="E67" s="24" t="s">
        <v>108</v>
      </c>
      <c r="F67" s="2"/>
      <c r="G67" s="2"/>
      <c r="H67" s="2"/>
      <c r="I67" s="2"/>
      <c r="J67" s="2"/>
      <c r="K67" s="2"/>
      <c r="L67" s="2"/>
      <c r="M67" s="2"/>
      <c r="N67" s="24" t="s">
        <v>69</v>
      </c>
      <c r="O67" s="2"/>
      <c r="P67" s="2"/>
      <c r="Q67" s="2"/>
      <c r="R67" s="2"/>
      <c r="S67" s="2"/>
      <c r="T67" s="2"/>
      <c r="U67" s="2"/>
      <c r="V67" s="24" t="s">
        <v>29</v>
      </c>
      <c r="W67" s="2"/>
      <c r="X67" s="2"/>
      <c r="Y67" s="2"/>
      <c r="Z67" s="2"/>
      <c r="AA67" s="2"/>
      <c r="AB67" s="2"/>
      <c r="AC67" s="2"/>
    </row>
    <row r="68" spans="1:29" ht="16" customHeight="1">
      <c r="A68" s="2"/>
      <c r="B68" s="2"/>
      <c r="C68" s="2"/>
      <c r="D68" s="2"/>
      <c r="E68" s="24" t="s">
        <v>109</v>
      </c>
      <c r="F68" s="2"/>
      <c r="G68" s="2"/>
      <c r="H68" s="2"/>
      <c r="I68" s="2"/>
      <c r="J68" s="2"/>
      <c r="K68" s="2"/>
      <c r="L68" s="2"/>
      <c r="M68" s="2"/>
      <c r="N68" s="24" t="s">
        <v>70</v>
      </c>
      <c r="O68" s="2"/>
      <c r="P68" s="2"/>
      <c r="Q68" s="2"/>
      <c r="R68" s="2"/>
      <c r="S68" s="2"/>
      <c r="T68" s="2"/>
      <c r="U68" s="2"/>
      <c r="V68" s="24" t="s">
        <v>30</v>
      </c>
      <c r="W68" s="2"/>
      <c r="X68" s="2"/>
      <c r="Y68" s="2"/>
      <c r="Z68" s="2"/>
      <c r="AA68" s="2"/>
      <c r="AB68" s="2"/>
      <c r="AC68" s="2"/>
    </row>
    <row r="69" spans="1:29" ht="16" customHeight="1">
      <c r="A69" s="2"/>
      <c r="B69" s="2"/>
      <c r="C69" s="2"/>
      <c r="D69" s="2"/>
      <c r="E69" s="24" t="s">
        <v>110</v>
      </c>
      <c r="F69" s="2"/>
      <c r="G69" s="2"/>
      <c r="H69" s="2"/>
      <c r="I69" s="2"/>
      <c r="J69" s="2"/>
      <c r="K69" s="2"/>
      <c r="L69" s="2"/>
      <c r="M69" s="2"/>
      <c r="N69" s="24" t="s">
        <v>71</v>
      </c>
      <c r="O69" s="2"/>
      <c r="P69" s="2"/>
      <c r="Q69" s="2"/>
      <c r="R69" s="2"/>
      <c r="S69" s="2"/>
      <c r="T69" s="2"/>
      <c r="U69" s="2"/>
      <c r="V69" s="24" t="s">
        <v>31</v>
      </c>
      <c r="W69" s="2"/>
      <c r="X69" s="2"/>
      <c r="Y69" s="2"/>
      <c r="Z69" s="2"/>
      <c r="AA69" s="2"/>
      <c r="AB69" s="2"/>
      <c r="AC69" s="2"/>
    </row>
    <row r="70" spans="1:29" ht="16" customHeight="1">
      <c r="A70" s="2"/>
      <c r="B70" s="2"/>
      <c r="C70" s="2"/>
      <c r="D70" s="2"/>
      <c r="E70" s="24" t="s">
        <v>111</v>
      </c>
      <c r="F70" s="2"/>
      <c r="G70" s="2"/>
      <c r="H70" s="2"/>
      <c r="I70" s="2"/>
      <c r="J70" s="2"/>
      <c r="K70" s="2"/>
      <c r="L70" s="2"/>
      <c r="M70" s="2"/>
      <c r="N70" s="24" t="s">
        <v>72</v>
      </c>
      <c r="O70" s="2"/>
      <c r="P70" s="2"/>
      <c r="Q70" s="2"/>
      <c r="R70" s="2"/>
      <c r="S70" s="2"/>
      <c r="T70" s="2"/>
      <c r="U70" s="2"/>
      <c r="V70" s="24" t="s">
        <v>32</v>
      </c>
      <c r="W70" s="2"/>
      <c r="X70" s="2"/>
      <c r="Y70" s="2"/>
      <c r="Z70" s="2"/>
      <c r="AA70" s="2"/>
      <c r="AB70" s="2"/>
      <c r="AC70" s="2"/>
    </row>
    <row r="71" spans="1:29" ht="16" customHeight="1">
      <c r="A71" s="2"/>
      <c r="B71" s="2"/>
      <c r="C71" s="2"/>
      <c r="D71" s="2"/>
      <c r="E71" s="24" t="s">
        <v>112</v>
      </c>
      <c r="F71" s="2"/>
      <c r="G71" s="2"/>
      <c r="H71" s="2"/>
      <c r="I71" s="2"/>
      <c r="J71" s="2"/>
      <c r="K71" s="2"/>
      <c r="L71" s="2"/>
      <c r="M71" s="2"/>
      <c r="N71" s="24" t="s">
        <v>73</v>
      </c>
      <c r="O71" s="2"/>
      <c r="P71" s="2"/>
      <c r="Q71" s="2"/>
      <c r="R71" s="2"/>
      <c r="S71" s="2"/>
      <c r="T71" s="2"/>
      <c r="U71" s="2"/>
      <c r="V71" s="24" t="s">
        <v>33</v>
      </c>
      <c r="W71" s="2"/>
      <c r="X71" s="2"/>
      <c r="Y71" s="2"/>
      <c r="Z71" s="2"/>
      <c r="AA71" s="2"/>
      <c r="AB71" s="2"/>
      <c r="AC71" s="2"/>
    </row>
    <row r="72" spans="1:29" ht="16" customHeight="1">
      <c r="A72" s="2"/>
      <c r="B72" s="2"/>
      <c r="C72" s="2"/>
      <c r="D72" s="2"/>
      <c r="E72" s="24" t="s">
        <v>113</v>
      </c>
      <c r="F72" s="2"/>
      <c r="G72" s="2"/>
      <c r="H72" s="2"/>
      <c r="I72" s="2"/>
      <c r="J72" s="2"/>
      <c r="K72" s="2"/>
      <c r="L72" s="2"/>
      <c r="M72" s="2"/>
      <c r="N72" s="24" t="s">
        <v>74</v>
      </c>
      <c r="O72" s="2"/>
      <c r="P72" s="2"/>
      <c r="Q72" s="2"/>
      <c r="R72" s="2"/>
      <c r="S72" s="2"/>
      <c r="T72" s="2"/>
      <c r="U72" s="2"/>
      <c r="V72" s="24" t="s">
        <v>34</v>
      </c>
      <c r="W72" s="2"/>
      <c r="X72" s="2"/>
      <c r="Y72" s="2"/>
      <c r="Z72" s="2"/>
      <c r="AA72" s="2"/>
      <c r="AB72" s="2"/>
      <c r="AC72" s="2"/>
    </row>
    <row r="73" spans="1:29" ht="16" customHeight="1">
      <c r="A73" s="2"/>
      <c r="B73" s="2"/>
      <c r="C73" s="2"/>
      <c r="D73" s="2"/>
      <c r="E73" s="24" t="s">
        <v>114</v>
      </c>
      <c r="F73" s="2"/>
      <c r="G73" s="2"/>
      <c r="H73" s="2"/>
      <c r="I73" s="2"/>
      <c r="J73" s="2"/>
      <c r="K73" s="2"/>
      <c r="L73" s="2"/>
      <c r="M73" s="2"/>
      <c r="N73" s="24" t="s">
        <v>75</v>
      </c>
      <c r="O73" s="2"/>
      <c r="P73" s="2"/>
      <c r="Q73" s="2"/>
      <c r="R73" s="2"/>
      <c r="S73" s="2"/>
      <c r="T73" s="2"/>
      <c r="U73" s="2"/>
      <c r="V73" s="24" t="s">
        <v>35</v>
      </c>
      <c r="W73" s="2"/>
      <c r="X73" s="2"/>
      <c r="Y73" s="2"/>
      <c r="Z73" s="2"/>
      <c r="AA73" s="2"/>
      <c r="AB73" s="2"/>
      <c r="AC73" s="2"/>
    </row>
    <row r="74" spans="1:29" ht="16" customHeight="1">
      <c r="A74" s="2"/>
      <c r="B74" s="2"/>
      <c r="C74" s="2"/>
      <c r="D74" s="2"/>
      <c r="E74" s="24" t="s">
        <v>115</v>
      </c>
      <c r="F74" s="2"/>
      <c r="G74" s="2"/>
      <c r="H74" s="2"/>
      <c r="I74" s="2"/>
      <c r="J74" s="2"/>
      <c r="K74" s="2"/>
      <c r="L74" s="2"/>
      <c r="M74" s="2"/>
      <c r="N74" s="24" t="s">
        <v>76</v>
      </c>
      <c r="O74" s="2"/>
      <c r="P74" s="2"/>
      <c r="Q74" s="2"/>
      <c r="R74" s="2"/>
      <c r="S74" s="2"/>
      <c r="T74" s="2"/>
      <c r="U74" s="2"/>
      <c r="V74" s="24" t="s">
        <v>36</v>
      </c>
      <c r="W74" s="2"/>
      <c r="X74" s="2"/>
      <c r="Y74" s="2"/>
      <c r="Z74" s="2"/>
      <c r="AA74" s="2"/>
      <c r="AB74" s="2"/>
      <c r="AC74" s="2"/>
    </row>
    <row r="75" spans="1:29" ht="16" customHeight="1">
      <c r="A75" s="2"/>
      <c r="B75" s="2"/>
      <c r="C75" s="2"/>
      <c r="D75" s="2"/>
      <c r="E75" s="24" t="s">
        <v>116</v>
      </c>
      <c r="F75" s="2"/>
      <c r="G75" s="2"/>
      <c r="H75" s="2"/>
      <c r="I75" s="2"/>
      <c r="J75" s="2"/>
      <c r="K75" s="2"/>
      <c r="L75" s="2"/>
      <c r="M75" s="2"/>
      <c r="N75" s="24" t="s">
        <v>77</v>
      </c>
      <c r="O75" s="2"/>
      <c r="P75" s="2"/>
      <c r="Q75" s="2"/>
      <c r="R75" s="2"/>
      <c r="S75" s="2"/>
      <c r="T75" s="2"/>
      <c r="U75" s="2"/>
      <c r="V75" s="24" t="s">
        <v>37</v>
      </c>
      <c r="W75" s="2"/>
      <c r="X75" s="2"/>
      <c r="Y75" s="2"/>
      <c r="Z75" s="2"/>
      <c r="AA75" s="2"/>
      <c r="AB75" s="2"/>
      <c r="AC75" s="2"/>
    </row>
    <row r="76" spans="1:29" ht="16" customHeight="1">
      <c r="A76" s="2"/>
      <c r="B76" s="2"/>
      <c r="C76" s="2"/>
      <c r="D76" s="2"/>
      <c r="E76" s="24" t="s">
        <v>117</v>
      </c>
      <c r="F76" s="2"/>
      <c r="G76" s="2"/>
      <c r="H76" s="2"/>
      <c r="I76" s="2"/>
      <c r="J76" s="2"/>
      <c r="K76" s="2"/>
      <c r="L76" s="2"/>
      <c r="M76" s="2"/>
      <c r="N76" s="24" t="s">
        <v>78</v>
      </c>
      <c r="O76" s="2"/>
      <c r="P76" s="2"/>
      <c r="Q76" s="2"/>
      <c r="R76" s="2"/>
      <c r="S76" s="2"/>
      <c r="T76" s="2"/>
      <c r="U76" s="2"/>
      <c r="V76" s="24" t="s">
        <v>38</v>
      </c>
      <c r="W76" s="2"/>
      <c r="X76" s="2"/>
      <c r="Y76" s="2"/>
      <c r="Z76" s="2"/>
      <c r="AA76" s="2"/>
      <c r="AB76" s="2"/>
      <c r="AC76" s="2"/>
    </row>
    <row r="77" spans="1:29" ht="16" customHeight="1">
      <c r="A77" s="2"/>
      <c r="B77" s="2"/>
      <c r="C77" s="2"/>
      <c r="D77" s="2"/>
      <c r="E77" s="24" t="s">
        <v>118</v>
      </c>
      <c r="F77" s="2"/>
      <c r="G77" s="2"/>
      <c r="H77" s="2"/>
      <c r="I77" s="2"/>
      <c r="J77" s="2"/>
      <c r="K77" s="2"/>
      <c r="L77" s="2"/>
      <c r="M77" s="2"/>
      <c r="N77" s="24" t="s">
        <v>79</v>
      </c>
      <c r="O77" s="2"/>
      <c r="P77" s="2"/>
      <c r="Q77" s="2"/>
      <c r="R77" s="2"/>
      <c r="S77" s="2"/>
      <c r="T77" s="2"/>
      <c r="U77" s="2"/>
      <c r="V77" s="24" t="s">
        <v>39</v>
      </c>
      <c r="W77" s="2"/>
      <c r="X77" s="2"/>
      <c r="Y77" s="2"/>
      <c r="Z77" s="2"/>
      <c r="AA77" s="2"/>
      <c r="AB77" s="2"/>
      <c r="AC77" s="2"/>
    </row>
    <row r="78" spans="1:29" ht="16" customHeight="1">
      <c r="A78" s="2"/>
      <c r="B78" s="2"/>
      <c r="C78" s="2"/>
      <c r="D78" s="2"/>
      <c r="E78" s="24" t="s">
        <v>119</v>
      </c>
      <c r="F78" s="2"/>
      <c r="G78" s="2"/>
      <c r="H78" s="2"/>
      <c r="I78" s="2"/>
      <c r="J78" s="2"/>
      <c r="K78" s="2"/>
      <c r="L78" s="2"/>
      <c r="M78" s="2"/>
      <c r="N78" s="24" t="s">
        <v>80</v>
      </c>
      <c r="O78" s="2"/>
      <c r="P78" s="2"/>
      <c r="Q78" s="2"/>
      <c r="R78" s="2"/>
      <c r="S78" s="2"/>
      <c r="T78" s="2"/>
      <c r="U78" s="2"/>
      <c r="V78" s="24" t="s">
        <v>40</v>
      </c>
      <c r="W78" s="2"/>
      <c r="X78" s="2"/>
      <c r="Y78" s="2"/>
      <c r="Z78" s="2"/>
      <c r="AA78" s="2"/>
      <c r="AB78" s="2"/>
      <c r="AC78" s="2"/>
    </row>
    <row r="79" spans="1:29" ht="16" customHeight="1">
      <c r="A79" s="2"/>
      <c r="B79" s="2"/>
      <c r="C79" s="2"/>
      <c r="D79" s="2"/>
      <c r="E79" s="24" t="s">
        <v>120</v>
      </c>
      <c r="F79" s="2"/>
      <c r="G79" s="2"/>
      <c r="H79" s="2"/>
      <c r="I79" s="2"/>
      <c r="J79" s="2"/>
      <c r="K79" s="2"/>
      <c r="L79" s="2"/>
      <c r="M79" s="2"/>
      <c r="N79" s="24" t="s">
        <v>81</v>
      </c>
      <c r="O79" s="2"/>
      <c r="P79" s="2"/>
      <c r="Q79" s="2"/>
      <c r="R79" s="2"/>
      <c r="S79" s="2"/>
      <c r="T79" s="2"/>
      <c r="U79" s="2"/>
      <c r="V79" s="24" t="s">
        <v>41</v>
      </c>
      <c r="W79" s="2"/>
      <c r="X79" s="2"/>
      <c r="Y79" s="2"/>
      <c r="Z79" s="2"/>
      <c r="AA79" s="2"/>
      <c r="AB79" s="2"/>
      <c r="AC79" s="2"/>
    </row>
    <row r="80" spans="1:29" ht="16" customHeight="1">
      <c r="A80" s="2"/>
      <c r="B80" s="2"/>
      <c r="C80" s="2"/>
      <c r="D80" s="2"/>
      <c r="E80" s="24" t="s">
        <v>121</v>
      </c>
      <c r="F80" s="2"/>
      <c r="G80" s="2"/>
      <c r="H80" s="2"/>
      <c r="I80" s="2"/>
      <c r="J80" s="2"/>
      <c r="K80" s="2"/>
      <c r="L80" s="2"/>
      <c r="M80" s="2"/>
      <c r="N80" s="24" t="s">
        <v>82</v>
      </c>
      <c r="O80" s="2"/>
      <c r="P80" s="2"/>
      <c r="Q80" s="2"/>
      <c r="R80" s="2"/>
      <c r="S80" s="2"/>
      <c r="T80" s="2"/>
      <c r="U80" s="2"/>
      <c r="V80" s="24" t="s">
        <v>42</v>
      </c>
      <c r="W80" s="2"/>
      <c r="X80" s="2"/>
      <c r="Y80" s="2"/>
      <c r="Z80" s="2"/>
      <c r="AA80" s="2"/>
      <c r="AB80" s="2"/>
      <c r="AC80" s="2"/>
    </row>
    <row r="81" spans="1:29" ht="16" customHeight="1">
      <c r="A81" s="2"/>
      <c r="B81" s="2"/>
      <c r="C81" s="2"/>
      <c r="D81" s="2"/>
      <c r="E81" s="24" t="s">
        <v>122</v>
      </c>
      <c r="F81" s="2"/>
      <c r="G81" s="2"/>
      <c r="H81" s="2"/>
      <c r="I81" s="2"/>
      <c r="J81" s="2"/>
      <c r="K81" s="2"/>
      <c r="L81" s="2"/>
      <c r="M81" s="2"/>
      <c r="N81" s="24" t="s">
        <v>83</v>
      </c>
      <c r="O81" s="2"/>
      <c r="P81" s="2"/>
      <c r="Q81" s="2"/>
      <c r="R81" s="2"/>
      <c r="S81" s="2"/>
      <c r="T81" s="2"/>
      <c r="U81" s="2"/>
      <c r="V81" s="24" t="s">
        <v>43</v>
      </c>
      <c r="W81" s="2"/>
      <c r="X81" s="2"/>
      <c r="Y81" s="2"/>
      <c r="Z81" s="2"/>
      <c r="AA81" s="2"/>
      <c r="AB81" s="2"/>
      <c r="AC81" s="2"/>
    </row>
    <row r="82" spans="1:29" ht="16" customHeight="1">
      <c r="A82" s="2"/>
      <c r="B82" s="2"/>
      <c r="C82" s="2"/>
      <c r="D82" s="2"/>
      <c r="E82" s="24" t="s">
        <v>123</v>
      </c>
      <c r="F82" s="2"/>
      <c r="G82" s="2"/>
      <c r="H82" s="2"/>
      <c r="I82" s="2"/>
      <c r="J82" s="2"/>
      <c r="K82" s="2"/>
      <c r="L82" s="2"/>
      <c r="M82" s="2"/>
      <c r="N82" s="24" t="s">
        <v>84</v>
      </c>
      <c r="O82" s="2"/>
      <c r="P82" s="2"/>
      <c r="Q82" s="2"/>
      <c r="R82" s="2"/>
      <c r="S82" s="2"/>
      <c r="T82" s="2"/>
      <c r="U82" s="2"/>
      <c r="V82" s="24" t="s">
        <v>44</v>
      </c>
      <c r="W82" s="2"/>
      <c r="X82" s="2"/>
      <c r="Y82" s="2"/>
      <c r="Z82" s="2"/>
      <c r="AA82" s="2"/>
      <c r="AB82" s="2"/>
      <c r="AC82" s="2"/>
    </row>
    <row r="83" spans="1:29" ht="16" customHeight="1">
      <c r="A83" s="2"/>
      <c r="B83" s="2"/>
      <c r="C83" s="2"/>
      <c r="D83" s="2"/>
      <c r="E83" s="24" t="s">
        <v>124</v>
      </c>
      <c r="F83" s="2"/>
      <c r="G83" s="2"/>
      <c r="H83" s="2"/>
      <c r="I83" s="2"/>
      <c r="J83" s="2"/>
      <c r="K83" s="2"/>
      <c r="L83" s="2"/>
      <c r="M83" s="2"/>
      <c r="N83" s="24" t="s">
        <v>85</v>
      </c>
      <c r="O83" s="2"/>
      <c r="P83" s="2"/>
      <c r="Q83" s="2"/>
      <c r="R83" s="2"/>
      <c r="S83" s="2"/>
      <c r="T83" s="2"/>
      <c r="U83" s="2"/>
      <c r="V83" s="24" t="s">
        <v>45</v>
      </c>
      <c r="W83" s="2"/>
      <c r="X83" s="2"/>
      <c r="Y83" s="2"/>
      <c r="Z83" s="2"/>
      <c r="AA83" s="2"/>
      <c r="AB83" s="2"/>
      <c r="AC83" s="2"/>
    </row>
    <row r="84" spans="1:29" ht="16" customHeight="1">
      <c r="A84" s="2"/>
      <c r="B84" s="2"/>
      <c r="C84" s="2"/>
      <c r="D84" s="2"/>
      <c r="E84" s="24" t="s">
        <v>125</v>
      </c>
      <c r="F84" s="2"/>
      <c r="G84" s="2"/>
      <c r="H84" s="2"/>
      <c r="I84" s="2"/>
      <c r="J84" s="2"/>
      <c r="K84" s="2"/>
      <c r="L84" s="2"/>
      <c r="M84" s="2"/>
      <c r="N84" s="24" t="s">
        <v>86</v>
      </c>
      <c r="O84" s="2"/>
      <c r="P84" s="2"/>
      <c r="Q84" s="2"/>
      <c r="R84" s="2"/>
      <c r="S84" s="2"/>
      <c r="T84" s="2"/>
      <c r="U84" s="2"/>
      <c r="V84" s="24" t="s">
        <v>46</v>
      </c>
      <c r="W84" s="2"/>
      <c r="X84" s="2"/>
      <c r="Y84" s="2"/>
      <c r="Z84" s="2"/>
      <c r="AA84" s="2"/>
      <c r="AB84" s="2"/>
      <c r="AC84" s="2"/>
    </row>
    <row r="85" spans="1:29" ht="16" customHeight="1">
      <c r="A85" s="2"/>
      <c r="B85" s="2"/>
      <c r="C85" s="2"/>
      <c r="D85" s="2"/>
      <c r="E85" s="24" t="s">
        <v>126</v>
      </c>
      <c r="F85" s="2"/>
      <c r="G85" s="2"/>
      <c r="H85" s="2"/>
      <c r="I85" s="2"/>
      <c r="J85" s="2"/>
      <c r="K85" s="2"/>
      <c r="L85" s="2"/>
      <c r="M85" s="2"/>
      <c r="N85" s="24" t="s">
        <v>87</v>
      </c>
      <c r="O85" s="2"/>
      <c r="P85" s="2"/>
      <c r="Q85" s="2"/>
      <c r="R85" s="2"/>
      <c r="S85" s="2"/>
      <c r="T85" s="2"/>
      <c r="U85" s="2"/>
      <c r="V85" s="24" t="s">
        <v>47</v>
      </c>
      <c r="W85" s="2"/>
      <c r="X85" s="2"/>
      <c r="Y85" s="2"/>
      <c r="Z85" s="2"/>
      <c r="AA85" s="2"/>
      <c r="AB85" s="2"/>
      <c r="AC85" s="2"/>
    </row>
    <row r="86" spans="1:29" ht="16" customHeight="1">
      <c r="A86" s="2"/>
      <c r="B86" s="2"/>
      <c r="C86" s="2"/>
      <c r="D86" s="2"/>
      <c r="E86" s="24" t="s">
        <v>127</v>
      </c>
      <c r="F86" s="2"/>
      <c r="G86" s="2"/>
      <c r="H86" s="2"/>
      <c r="I86" s="2"/>
      <c r="J86" s="2"/>
      <c r="K86" s="2"/>
      <c r="L86" s="2"/>
      <c r="M86" s="2"/>
      <c r="N86" s="24" t="s">
        <v>88</v>
      </c>
      <c r="O86" s="2"/>
      <c r="P86" s="2"/>
      <c r="Q86" s="2"/>
      <c r="R86" s="2"/>
      <c r="S86" s="2"/>
      <c r="T86" s="2"/>
      <c r="U86" s="2"/>
      <c r="V86" s="24" t="s">
        <v>48</v>
      </c>
      <c r="W86" s="2"/>
      <c r="X86" s="2"/>
      <c r="Y86" s="2"/>
      <c r="Z86" s="2"/>
      <c r="AA86" s="2"/>
      <c r="AB86" s="2"/>
      <c r="AC86" s="2"/>
    </row>
    <row r="87" spans="1:29" ht="16" customHeight="1">
      <c r="A87" s="2"/>
      <c r="B87" s="2"/>
      <c r="C87" s="2"/>
      <c r="D87" s="2"/>
      <c r="E87" s="24" t="s">
        <v>128</v>
      </c>
      <c r="F87" s="2"/>
      <c r="G87" s="2"/>
      <c r="H87" s="2"/>
      <c r="I87" s="2"/>
      <c r="J87" s="2"/>
      <c r="K87" s="2"/>
      <c r="L87" s="2"/>
      <c r="M87" s="2"/>
      <c r="N87" s="24" t="s">
        <v>89</v>
      </c>
      <c r="O87" s="2"/>
      <c r="P87" s="2"/>
      <c r="Q87" s="2"/>
      <c r="R87" s="2"/>
      <c r="S87" s="2"/>
      <c r="T87" s="2"/>
      <c r="U87" s="2"/>
      <c r="V87" s="24" t="s">
        <v>49</v>
      </c>
      <c r="W87" s="2"/>
      <c r="X87" s="2"/>
      <c r="Y87" s="2"/>
      <c r="Z87" s="2"/>
      <c r="AA87" s="2"/>
      <c r="AB87" s="2"/>
      <c r="AC87" s="2"/>
    </row>
    <row r="88" spans="1:29" ht="16" customHeight="1">
      <c r="A88" s="2"/>
      <c r="B88" s="2"/>
      <c r="C88" s="2"/>
      <c r="D88" s="2"/>
      <c r="E88" s="24" t="s">
        <v>129</v>
      </c>
      <c r="F88" s="2"/>
      <c r="G88" s="2"/>
      <c r="H88" s="2"/>
      <c r="I88" s="2"/>
      <c r="J88" s="2"/>
      <c r="K88" s="2"/>
      <c r="L88" s="2"/>
      <c r="M88" s="2"/>
      <c r="N88" s="24" t="s">
        <v>90</v>
      </c>
      <c r="O88" s="2"/>
      <c r="P88" s="2"/>
      <c r="Q88" s="2"/>
      <c r="R88" s="2"/>
      <c r="S88" s="2"/>
      <c r="T88" s="2"/>
      <c r="U88" s="2"/>
      <c r="V88" s="24" t="s">
        <v>50</v>
      </c>
      <c r="W88" s="2"/>
      <c r="X88" s="2"/>
      <c r="Y88" s="2"/>
      <c r="Z88" s="2"/>
      <c r="AA88" s="2"/>
      <c r="AB88" s="2"/>
      <c r="AC88" s="2"/>
    </row>
    <row r="89" spans="1:29" ht="16" customHeight="1">
      <c r="A89" s="2"/>
      <c r="B89" s="2"/>
      <c r="C89" s="2"/>
      <c r="D89" s="2"/>
      <c r="E89" s="24" t="s">
        <v>130</v>
      </c>
      <c r="F89" s="2"/>
      <c r="G89" s="2"/>
      <c r="H89" s="2"/>
      <c r="I89" s="2"/>
      <c r="J89" s="2"/>
      <c r="K89" s="2"/>
      <c r="L89" s="2"/>
      <c r="M89" s="2"/>
      <c r="N89" s="24" t="s">
        <v>91</v>
      </c>
      <c r="O89" s="2"/>
      <c r="P89" s="2"/>
      <c r="Q89" s="2"/>
      <c r="R89" s="2"/>
      <c r="S89" s="2"/>
      <c r="T89" s="2"/>
      <c r="U89" s="2"/>
      <c r="V89" s="24" t="s">
        <v>51</v>
      </c>
      <c r="W89" s="2"/>
      <c r="X89" s="2"/>
      <c r="Y89" s="2"/>
      <c r="Z89" s="2"/>
      <c r="AA89" s="2"/>
      <c r="AB89" s="2"/>
      <c r="AC89" s="2"/>
    </row>
    <row r="90" spans="1:29" ht="16" customHeight="1">
      <c r="A90" s="2"/>
      <c r="B90" s="2"/>
      <c r="C90" s="2"/>
      <c r="D90" s="2"/>
      <c r="E90" s="24" t="s">
        <v>131</v>
      </c>
      <c r="F90" s="2"/>
      <c r="G90" s="2"/>
      <c r="H90" s="2"/>
      <c r="I90" s="2"/>
      <c r="J90" s="2"/>
      <c r="K90" s="2"/>
      <c r="L90" s="2"/>
      <c r="M90" s="2"/>
      <c r="N90" s="24" t="s">
        <v>92</v>
      </c>
      <c r="O90" s="2"/>
      <c r="P90" s="2"/>
      <c r="Q90" s="2"/>
      <c r="R90" s="2"/>
      <c r="S90" s="2"/>
      <c r="T90" s="2"/>
      <c r="U90" s="2"/>
      <c r="V90" s="24" t="s">
        <v>52</v>
      </c>
      <c r="W90" s="2"/>
      <c r="X90" s="2"/>
      <c r="Y90" s="2"/>
      <c r="Z90" s="2"/>
      <c r="AA90" s="2"/>
      <c r="AB90" s="2"/>
      <c r="AC90" s="2"/>
    </row>
    <row r="91" spans="1:29" ht="16" customHeight="1">
      <c r="A91" s="2"/>
      <c r="B91" s="2"/>
      <c r="C91" s="2"/>
      <c r="D91" s="2"/>
      <c r="E91" s="24" t="s">
        <v>132</v>
      </c>
      <c r="F91" s="2"/>
      <c r="G91" s="2"/>
      <c r="H91" s="2"/>
      <c r="I91" s="2"/>
      <c r="J91" s="2"/>
      <c r="K91" s="2"/>
      <c r="L91" s="2"/>
      <c r="M91" s="2"/>
      <c r="N91" s="24" t="s">
        <v>93</v>
      </c>
      <c r="O91" s="2"/>
      <c r="P91" s="2"/>
      <c r="Q91" s="2"/>
      <c r="R91" s="2"/>
      <c r="S91" s="2"/>
      <c r="T91" s="2"/>
      <c r="U91" s="2"/>
      <c r="V91" s="24" t="s">
        <v>53</v>
      </c>
      <c r="W91" s="2"/>
      <c r="X91" s="2"/>
      <c r="Y91" s="2"/>
      <c r="Z91" s="2"/>
      <c r="AA91" s="2"/>
      <c r="AB91" s="2"/>
      <c r="AC91" s="2"/>
    </row>
    <row r="92" spans="1:29" ht="16" customHeight="1">
      <c r="A92" s="2"/>
      <c r="B92" s="2"/>
      <c r="C92" s="2"/>
      <c r="D92" s="2"/>
      <c r="E92" s="24" t="s">
        <v>133</v>
      </c>
      <c r="F92" s="2"/>
      <c r="G92" s="2"/>
      <c r="H92" s="2"/>
      <c r="I92" s="2"/>
      <c r="J92" s="2"/>
      <c r="K92" s="2"/>
      <c r="L92" s="2"/>
      <c r="M92" s="2"/>
      <c r="N92" s="24" t="s">
        <v>94</v>
      </c>
      <c r="O92" s="2"/>
      <c r="P92" s="2"/>
      <c r="Q92" s="2"/>
      <c r="R92" s="2"/>
      <c r="S92" s="2"/>
      <c r="T92" s="2"/>
      <c r="U92" s="2"/>
      <c r="V92" s="24" t="s">
        <v>54</v>
      </c>
      <c r="W92" s="2"/>
      <c r="X92" s="2"/>
      <c r="Y92" s="2"/>
      <c r="Z92" s="2"/>
      <c r="AA92" s="2"/>
      <c r="AB92" s="2"/>
      <c r="AC92" s="2"/>
    </row>
    <row r="93" spans="1:29" ht="16" customHeight="1">
      <c r="A93" s="2"/>
      <c r="B93" s="2"/>
      <c r="C93" s="2"/>
      <c r="D93" s="2"/>
      <c r="E93" s="24" t="s">
        <v>134</v>
      </c>
      <c r="F93" s="2"/>
      <c r="G93" s="2"/>
      <c r="H93" s="2"/>
      <c r="I93" s="2"/>
      <c r="J93" s="2"/>
      <c r="K93" s="2"/>
      <c r="L93" s="2"/>
      <c r="M93" s="2"/>
      <c r="N93" s="24" t="s">
        <v>95</v>
      </c>
      <c r="O93" s="2"/>
      <c r="P93" s="2"/>
      <c r="Q93" s="2"/>
      <c r="R93" s="2"/>
      <c r="S93" s="2"/>
      <c r="T93" s="2"/>
      <c r="U93" s="2"/>
      <c r="V93" s="24" t="s">
        <v>55</v>
      </c>
      <c r="W93" s="2"/>
      <c r="X93" s="2"/>
      <c r="Y93" s="2"/>
      <c r="Z93" s="2"/>
      <c r="AA93" s="2"/>
      <c r="AB93" s="2"/>
      <c r="AC93" s="2"/>
    </row>
    <row r="94" spans="1:29" ht="16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4" t="s">
        <v>56</v>
      </c>
      <c r="W94" s="2"/>
      <c r="X94" s="2"/>
      <c r="Y94" s="2"/>
      <c r="Z94" s="2"/>
      <c r="AA94" s="2"/>
      <c r="AB94" s="2"/>
      <c r="AC94" s="2"/>
    </row>
    <row r="95" spans="1:29" ht="16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6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6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6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6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6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6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6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D2916-46ED-EC41-AC68-2482BECF5F14}">
  <dimension ref="A1:AC102"/>
  <sheetViews>
    <sheetView showGridLines="0" zoomScale="63" workbookViewId="0">
      <selection activeCell="O20" sqref="O20"/>
    </sheetView>
  </sheetViews>
  <sheetFormatPr baseColWidth="10" defaultColWidth="10.83203125" defaultRowHeight="16" customHeight="1"/>
  <cols>
    <col min="1" max="1" width="13.6640625" style="1" customWidth="1"/>
    <col min="2" max="3" width="10.83203125" style="1" customWidth="1"/>
    <col min="4" max="4" width="13.33203125" style="1" customWidth="1"/>
    <col min="5" max="6" width="10.83203125" style="1" customWidth="1"/>
    <col min="7" max="7" width="15.33203125" style="1" customWidth="1"/>
    <col min="8" max="8" width="10.83203125" style="1" customWidth="1"/>
    <col min="9" max="9" width="13.33203125" style="1" customWidth="1"/>
    <col min="10" max="12" width="11" style="1" customWidth="1"/>
    <col min="13" max="13" width="10.83203125" style="1" customWidth="1"/>
    <col min="14" max="14" width="12.5" style="1" customWidth="1"/>
    <col min="15" max="15" width="11.33203125" style="1" customWidth="1"/>
    <col min="16" max="16" width="17.6640625" style="1" customWidth="1"/>
    <col min="17" max="17" width="10.83203125" style="1" customWidth="1"/>
    <col min="18" max="18" width="20.5" style="1" customWidth="1"/>
    <col min="19" max="19" width="11" style="1" customWidth="1"/>
    <col min="20" max="20" width="18" style="1" customWidth="1"/>
    <col min="21" max="21" width="12.1640625" style="1" customWidth="1"/>
    <col min="22" max="22" width="10.83203125" style="1" customWidth="1"/>
    <col min="23" max="23" width="17.5" style="1" customWidth="1"/>
    <col min="24" max="24" width="25.1640625" style="1" customWidth="1"/>
    <col min="25" max="25" width="10.83203125" style="1" customWidth="1"/>
    <col min="26" max="16384" width="10.83203125" style="1"/>
  </cols>
  <sheetData>
    <row r="1" spans="1:29" ht="15.25" customHeight="1">
      <c r="A1" s="8"/>
      <c r="B1" s="2"/>
      <c r="C1" s="2"/>
      <c r="D1" s="2"/>
      <c r="E1" s="2"/>
      <c r="F1" s="2"/>
      <c r="G1" s="2"/>
      <c r="H1" s="2"/>
      <c r="I1" s="2"/>
      <c r="J1" s="8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7"/>
      <c r="Z1" s="7"/>
      <c r="AA1" s="7"/>
      <c r="AB1" s="7"/>
    </row>
    <row r="2" spans="1:29" ht="15.25" customHeight="1">
      <c r="A2" s="14">
        <f>0.0000001</f>
        <v>9.9999999999999995E-8</v>
      </c>
      <c r="B2" s="5"/>
      <c r="C2" s="2"/>
      <c r="D2" s="2"/>
      <c r="E2" s="2"/>
      <c r="F2" s="2"/>
      <c r="G2" s="2"/>
      <c r="H2" s="2"/>
      <c r="I2" s="3"/>
      <c r="J2" s="15">
        <f t="shared" ref="J2" si="0">0.0000001</f>
        <v>9.9999999999999995E-8</v>
      </c>
      <c r="K2" s="5"/>
      <c r="L2" s="2"/>
      <c r="M2" s="2"/>
      <c r="N2" s="2"/>
      <c r="O2" s="2"/>
      <c r="P2" s="2"/>
      <c r="Q2" s="2"/>
      <c r="R2" s="15">
        <v>9.9999999999999995E-8</v>
      </c>
      <c r="S2" s="5"/>
      <c r="T2" s="2"/>
      <c r="U2" s="2"/>
      <c r="V2" s="2"/>
      <c r="W2" s="2"/>
      <c r="X2" s="2"/>
      <c r="Y2" s="7"/>
      <c r="Z2" s="7"/>
      <c r="AA2" s="7"/>
      <c r="AB2" s="7"/>
    </row>
    <row r="3" spans="1:29" ht="15.25" customHeight="1">
      <c r="A3" s="6" t="s">
        <v>9</v>
      </c>
      <c r="B3" s="2"/>
      <c r="C3" s="2"/>
      <c r="D3" s="2"/>
      <c r="E3" s="2"/>
      <c r="F3" s="2"/>
      <c r="G3" s="2"/>
      <c r="H3" s="2"/>
      <c r="I3" s="2"/>
      <c r="J3" s="6" t="s">
        <v>9</v>
      </c>
      <c r="K3" s="2"/>
      <c r="L3" s="2"/>
      <c r="M3" s="2"/>
      <c r="N3" s="2"/>
      <c r="O3" s="2"/>
      <c r="P3" s="2"/>
      <c r="Q3" s="3"/>
      <c r="R3" s="6" t="s">
        <v>9</v>
      </c>
      <c r="S3" s="2"/>
      <c r="T3" s="8"/>
      <c r="U3" s="8"/>
      <c r="V3" s="8"/>
      <c r="W3" s="8"/>
      <c r="X3" s="2"/>
      <c r="Y3" s="7"/>
      <c r="Z3" s="7"/>
      <c r="AA3" s="7"/>
      <c r="AB3" s="7"/>
    </row>
    <row r="4" spans="1:29" ht="15.25" customHeight="1">
      <c r="A4" s="16" t="s">
        <v>10</v>
      </c>
      <c r="B4" s="12"/>
      <c r="C4" s="2"/>
      <c r="D4" s="2"/>
      <c r="E4" s="2"/>
      <c r="F4" s="2"/>
      <c r="G4" s="2"/>
      <c r="H4" s="2"/>
      <c r="I4" s="2"/>
      <c r="J4" s="16" t="s">
        <v>10</v>
      </c>
      <c r="K4" s="12"/>
      <c r="L4" s="2"/>
      <c r="M4" s="2"/>
      <c r="N4" s="2"/>
      <c r="O4" s="13"/>
      <c r="P4" s="12"/>
      <c r="Q4" s="2"/>
      <c r="R4" s="16" t="s">
        <v>10</v>
      </c>
      <c r="S4" s="12"/>
      <c r="T4" s="8"/>
      <c r="U4" s="8"/>
      <c r="V4" s="8"/>
      <c r="W4" s="8"/>
      <c r="X4" s="12"/>
      <c r="Y4" s="7"/>
      <c r="Z4" s="7"/>
      <c r="AA4" s="7"/>
      <c r="AB4" s="7"/>
      <c r="AC4" s="7"/>
    </row>
    <row r="5" spans="1:29" ht="23" customHeight="1">
      <c r="A5" s="17" t="s">
        <v>0</v>
      </c>
      <c r="B5" s="18" t="s">
        <v>1</v>
      </c>
      <c r="C5" s="18" t="s">
        <v>3</v>
      </c>
      <c r="D5" s="19" t="s">
        <v>6</v>
      </c>
      <c r="E5" s="18" t="s">
        <v>2</v>
      </c>
      <c r="F5" s="18" t="s">
        <v>4</v>
      </c>
      <c r="G5" s="18" t="s">
        <v>5</v>
      </c>
      <c r="H5" s="5"/>
      <c r="I5" s="3"/>
      <c r="J5" s="20" t="s">
        <v>7</v>
      </c>
      <c r="K5" s="18" t="s">
        <v>13</v>
      </c>
      <c r="L5" s="18" t="s">
        <v>3</v>
      </c>
      <c r="M5" s="19" t="s">
        <v>6</v>
      </c>
      <c r="N5" s="18" t="s">
        <v>2</v>
      </c>
      <c r="O5" s="18" t="s">
        <v>4</v>
      </c>
      <c r="P5" s="18" t="s">
        <v>5</v>
      </c>
      <c r="Q5" s="5"/>
      <c r="R5" s="20" t="s">
        <v>8</v>
      </c>
      <c r="S5" s="39" t="s">
        <v>13</v>
      </c>
      <c r="T5" s="39" t="s">
        <v>3</v>
      </c>
      <c r="U5" s="39" t="s">
        <v>6</v>
      </c>
      <c r="V5" s="39" t="s">
        <v>2</v>
      </c>
      <c r="W5" s="39" t="s">
        <v>4</v>
      </c>
      <c r="X5" s="39" t="s">
        <v>5</v>
      </c>
      <c r="Y5" s="7"/>
      <c r="Z5" s="7"/>
      <c r="AA5" s="7"/>
      <c r="AB5" s="7"/>
      <c r="AC5" s="7"/>
    </row>
    <row r="6" spans="1:29" ht="23" customHeight="1">
      <c r="A6" s="36"/>
      <c r="B6" s="25">
        <v>-3.4807000000000001</v>
      </c>
      <c r="C6" s="24">
        <v>0</v>
      </c>
      <c r="D6" s="27">
        <f t="shared" ref="D6:D43" si="1">(B7-B6)*A$2</f>
        <v>1.8870000000000029E-8</v>
      </c>
      <c r="E6" s="26">
        <v>2.0781766776426801E-4</v>
      </c>
      <c r="F6" s="30">
        <f t="shared" ref="F6:F44" si="2">EXP((ABS(C7-C$6))/(0.008314*310))/E6</f>
        <v>4830.6167463804968</v>
      </c>
      <c r="G6" s="30">
        <f t="shared" ref="G6:G44" si="3">F6*D6</f>
        <v>9.1153738004200123E-5</v>
      </c>
      <c r="H6" s="31"/>
      <c r="I6" s="31"/>
      <c r="J6" s="37"/>
      <c r="K6" s="27">
        <v>-3.6023999999999998</v>
      </c>
      <c r="L6" s="24">
        <v>0</v>
      </c>
      <c r="M6" s="27">
        <f t="shared" ref="M6:M43" si="4">(K7-K6)*J$2</f>
        <v>2.2689999999999964E-8</v>
      </c>
      <c r="N6" s="26">
        <v>8.1384227870565399E-5</v>
      </c>
      <c r="O6" s="30">
        <f t="shared" ref="O6:O44" si="5">EXP((ABS(L6-L$14))/(0.008314*310))/N6</f>
        <v>32792.70266867699</v>
      </c>
      <c r="P6" s="30">
        <f t="shared" ref="P6:P44" si="6">O6*M6</f>
        <v>7.4406642355227966E-4</v>
      </c>
      <c r="Q6" s="38"/>
      <c r="R6" s="37"/>
      <c r="S6" s="27">
        <v>-3.6450999999999998</v>
      </c>
      <c r="T6" s="24">
        <v>0</v>
      </c>
      <c r="U6" s="27">
        <f>(S7-S6)*J$2</f>
        <v>2.0709999999999962E-8</v>
      </c>
      <c r="V6" s="26">
        <v>9.1422910661381204E-5</v>
      </c>
      <c r="W6" s="30">
        <f>EXP((ABS(T6-T$15))/(0.008314*310))/V6</f>
        <v>424567.15471939289</v>
      </c>
      <c r="X6" s="30">
        <f t="shared" ref="X6:X39" si="7">U6*W6</f>
        <v>8.7927857742386099E-3</v>
      </c>
      <c r="Y6" s="7"/>
      <c r="Z6" s="7"/>
      <c r="AA6" s="7"/>
      <c r="AB6" s="7"/>
      <c r="AC6" s="7"/>
    </row>
    <row r="7" spans="1:29" ht="16" customHeight="1">
      <c r="A7" s="33"/>
      <c r="B7" s="28">
        <v>-3.2919999999999998</v>
      </c>
      <c r="C7" s="24">
        <v>-0.01</v>
      </c>
      <c r="D7" s="29">
        <f t="shared" si="1"/>
        <v>1.6920000000000002E-8</v>
      </c>
      <c r="E7" s="26">
        <v>2.06723553470875E-4</v>
      </c>
      <c r="F7" s="30">
        <f t="shared" si="2"/>
        <v>4951.3124575789525</v>
      </c>
      <c r="G7" s="32">
        <f t="shared" si="3"/>
        <v>8.3776206782235885E-5</v>
      </c>
      <c r="H7" s="31"/>
      <c r="I7" s="31"/>
      <c r="J7" s="31"/>
      <c r="K7" s="29">
        <v>-3.3755000000000002</v>
      </c>
      <c r="L7" s="24">
        <v>-0.04</v>
      </c>
      <c r="M7" s="29">
        <f t="shared" si="4"/>
        <v>1.3210000000000032E-8</v>
      </c>
      <c r="N7" s="26">
        <v>6.8793925205401499E-5</v>
      </c>
      <c r="O7" s="30">
        <f t="shared" si="5"/>
        <v>38196.816817839586</v>
      </c>
      <c r="P7" s="32">
        <f t="shared" si="6"/>
        <v>5.0457995016366217E-4</v>
      </c>
      <c r="Q7" s="31"/>
      <c r="R7" s="31"/>
      <c r="S7" s="29">
        <v>-3.4380000000000002</v>
      </c>
      <c r="T7" s="24">
        <v>-0.09</v>
      </c>
      <c r="U7" s="29">
        <f t="shared" ref="U7:U44" si="8">(S8-S7)*J$2</f>
        <v>1.9130000000000003E-8</v>
      </c>
      <c r="V7" s="26">
        <v>8.7592168490143005E-5</v>
      </c>
      <c r="W7" s="30">
        <f t="shared" ref="W7:W45" si="9">EXP((ABS(T7-T$15))/(0.008314*310))/V7</f>
        <v>427928.01176083612</v>
      </c>
      <c r="X7" s="32">
        <f t="shared" si="7"/>
        <v>8.186262864984797E-3</v>
      </c>
      <c r="Y7" s="7"/>
      <c r="Z7" s="7"/>
      <c r="AA7" s="7"/>
      <c r="AB7" s="7"/>
      <c r="AC7" s="7"/>
    </row>
    <row r="8" spans="1:29" ht="16" customHeight="1">
      <c r="A8" s="33"/>
      <c r="B8" s="28">
        <v>-3.1227999999999998</v>
      </c>
      <c r="C8" s="24">
        <v>0.06</v>
      </c>
      <c r="D8" s="29">
        <f t="shared" si="1"/>
        <v>2.2629999999999972E-8</v>
      </c>
      <c r="E8" s="26">
        <v>2.0372221783486799E-4</v>
      </c>
      <c r="F8" s="30">
        <f t="shared" si="2"/>
        <v>5913.4913818179539</v>
      </c>
      <c r="G8" s="32">
        <f t="shared" si="3"/>
        <v>1.3382230997054014E-4</v>
      </c>
      <c r="H8" s="31"/>
      <c r="I8" s="31"/>
      <c r="J8" s="31"/>
      <c r="K8" s="29">
        <v>-3.2433999999999998</v>
      </c>
      <c r="L8" s="24">
        <v>-0.03</v>
      </c>
      <c r="M8" s="29">
        <f t="shared" si="4"/>
        <v>1.762999999999999E-8</v>
      </c>
      <c r="N8" s="26">
        <v>4.7996772228089497E-5</v>
      </c>
      <c r="O8" s="30">
        <f t="shared" si="5"/>
        <v>54960.449867588664</v>
      </c>
      <c r="P8" s="32">
        <f t="shared" si="6"/>
        <v>9.6895273116558763E-4</v>
      </c>
      <c r="Q8" s="31"/>
      <c r="R8" s="31"/>
      <c r="S8" s="29">
        <v>-3.2467000000000001</v>
      </c>
      <c r="T8" s="24">
        <v>-0.39</v>
      </c>
      <c r="U8" s="29">
        <f t="shared" si="8"/>
        <v>2.2110000000000027E-8</v>
      </c>
      <c r="V8" s="26">
        <v>5.9099401351836698E-5</v>
      </c>
      <c r="W8" s="30">
        <f t="shared" si="9"/>
        <v>564548.73036631092</v>
      </c>
      <c r="X8" s="32">
        <f t="shared" si="7"/>
        <v>1.2482172428399149E-2</v>
      </c>
      <c r="Y8" s="7"/>
      <c r="Z8" s="7"/>
      <c r="AA8" s="7"/>
      <c r="AB8" s="7"/>
      <c r="AC8" s="7"/>
    </row>
    <row r="9" spans="1:29" ht="16" customHeight="1">
      <c r="A9" s="33"/>
      <c r="B9" s="28">
        <v>-2.8965000000000001</v>
      </c>
      <c r="C9" s="24">
        <v>0.48</v>
      </c>
      <c r="D9" s="29">
        <f t="shared" si="1"/>
        <v>1.6880000000000006E-8</v>
      </c>
      <c r="E9" s="26">
        <v>4.7872424180096103E-5</v>
      </c>
      <c r="F9" s="30">
        <f t="shared" si="2"/>
        <v>33146.329256123172</v>
      </c>
      <c r="G9" s="32">
        <f t="shared" si="3"/>
        <v>5.5951003784335935E-4</v>
      </c>
      <c r="H9" s="31"/>
      <c r="I9" s="31"/>
      <c r="J9" s="31"/>
      <c r="K9" s="29">
        <v>-3.0670999999999999</v>
      </c>
      <c r="L9" s="24">
        <v>0.16</v>
      </c>
      <c r="M9" s="29">
        <f t="shared" si="4"/>
        <v>1.8310000000000003E-8</v>
      </c>
      <c r="N9" s="26">
        <v>2.1012739341578101E-5</v>
      </c>
      <c r="O9" s="30">
        <f t="shared" si="5"/>
        <v>135143.62795677423</v>
      </c>
      <c r="P9" s="32">
        <f t="shared" si="6"/>
        <v>2.4744798278885367E-3</v>
      </c>
      <c r="Q9" s="31"/>
      <c r="R9" s="31"/>
      <c r="S9" s="29">
        <v>-3.0255999999999998</v>
      </c>
      <c r="T9" s="24">
        <v>-0.94</v>
      </c>
      <c r="U9" s="29">
        <f t="shared" si="8"/>
        <v>1.7709999999999981E-8</v>
      </c>
      <c r="V9" s="26">
        <v>1.78277115858864E-5</v>
      </c>
      <c r="W9" s="30">
        <f t="shared" si="9"/>
        <v>1511858.7187554007</v>
      </c>
      <c r="X9" s="32">
        <f t="shared" si="7"/>
        <v>2.6775017909158118E-2</v>
      </c>
      <c r="Y9" s="7"/>
      <c r="Z9" s="7"/>
      <c r="AA9" s="7"/>
      <c r="AB9" s="7"/>
      <c r="AC9" s="7"/>
    </row>
    <row r="10" spans="1:29" ht="16" customHeight="1">
      <c r="A10" s="33"/>
      <c r="B10" s="28">
        <v>-2.7277</v>
      </c>
      <c r="C10" s="24">
        <v>1.19</v>
      </c>
      <c r="D10" s="29">
        <f t="shared" si="1"/>
        <v>1.589999999999998E-8</v>
      </c>
      <c r="E10" s="26">
        <v>2.4541090868921401E-5</v>
      </c>
      <c r="F10" s="30">
        <f t="shared" si="2"/>
        <v>91326.408572370565</v>
      </c>
      <c r="G10" s="32">
        <f t="shared" si="3"/>
        <v>1.4520898963006901E-3</v>
      </c>
      <c r="H10" s="31"/>
      <c r="I10" s="31"/>
      <c r="J10" s="31"/>
      <c r="K10" s="29">
        <v>-2.8839999999999999</v>
      </c>
      <c r="L10" s="24">
        <v>0.39</v>
      </c>
      <c r="M10" s="29">
        <f t="shared" si="4"/>
        <v>1.7529999999999999E-8</v>
      </c>
      <c r="N10" s="26">
        <v>6.2052116603467997E-6</v>
      </c>
      <c r="O10" s="30">
        <f t="shared" si="5"/>
        <v>500354.46471412346</v>
      </c>
      <c r="P10" s="32">
        <f t="shared" si="6"/>
        <v>8.7712137664385844E-3</v>
      </c>
      <c r="Q10" s="31"/>
      <c r="R10" s="31"/>
      <c r="S10" s="29">
        <v>-2.8485</v>
      </c>
      <c r="T10" s="24">
        <v>-1.24</v>
      </c>
      <c r="U10" s="29">
        <f t="shared" si="8"/>
        <v>2.1090000000000009E-8</v>
      </c>
      <c r="V10" s="26">
        <v>7.3063384623427102E-6</v>
      </c>
      <c r="W10" s="30">
        <f t="shared" si="9"/>
        <v>3283640.0510920146</v>
      </c>
      <c r="X10" s="32">
        <f t="shared" si="7"/>
        <v>6.9251968677530612E-2</v>
      </c>
      <c r="Y10" s="7"/>
      <c r="Z10" s="7"/>
      <c r="AA10" s="7"/>
      <c r="AB10" s="7"/>
      <c r="AC10" s="7"/>
    </row>
    <row r="11" spans="1:29" ht="16" customHeight="1">
      <c r="A11" s="33"/>
      <c r="B11" s="28">
        <v>-2.5687000000000002</v>
      </c>
      <c r="C11" s="24">
        <v>2.08</v>
      </c>
      <c r="D11" s="29">
        <f t="shared" si="1"/>
        <v>2.2150000000000023E-8</v>
      </c>
      <c r="E11" s="26">
        <v>2.81743306067561E-6</v>
      </c>
      <c r="F11" s="30">
        <f t="shared" si="2"/>
        <v>820572.63606803492</v>
      </c>
      <c r="G11" s="32">
        <f t="shared" si="3"/>
        <v>1.8175683888906991E-2</v>
      </c>
      <c r="H11" s="31"/>
      <c r="I11" s="31"/>
      <c r="J11" s="31"/>
      <c r="K11" s="29">
        <v>-2.7086999999999999</v>
      </c>
      <c r="L11" s="24">
        <v>0.76</v>
      </c>
      <c r="M11" s="29">
        <f t="shared" si="4"/>
        <v>1.934E-8</v>
      </c>
      <c r="N11" s="26">
        <v>8.64554030942812E-7</v>
      </c>
      <c r="O11" s="30">
        <f t="shared" si="5"/>
        <v>4145615.8999947193</v>
      </c>
      <c r="P11" s="32">
        <f t="shared" si="6"/>
        <v>8.0176211505897876E-2</v>
      </c>
      <c r="Q11" s="31"/>
      <c r="R11" s="31"/>
      <c r="S11" s="29">
        <v>-2.6375999999999999</v>
      </c>
      <c r="T11" s="24">
        <v>-1.81</v>
      </c>
      <c r="U11" s="29">
        <f t="shared" si="8"/>
        <v>2.0109999999999983E-8</v>
      </c>
      <c r="V11" s="26">
        <v>1.8214922917459399E-6</v>
      </c>
      <c r="W11" s="30">
        <f t="shared" si="9"/>
        <v>10557964.231541159</v>
      </c>
      <c r="X11" s="32">
        <f t="shared" si="7"/>
        <v>0.21232066069629252</v>
      </c>
      <c r="Y11" s="7"/>
      <c r="Z11" s="7"/>
      <c r="AA11" s="7"/>
      <c r="AB11" s="7"/>
      <c r="AC11" s="7"/>
    </row>
    <row r="12" spans="1:29" ht="16" customHeight="1">
      <c r="A12" s="33"/>
      <c r="B12" s="28">
        <v>-2.3472</v>
      </c>
      <c r="C12" s="24">
        <v>2.16</v>
      </c>
      <c r="D12" s="29">
        <f t="shared" si="1"/>
        <v>1.1969999999999991E-8</v>
      </c>
      <c r="E12" s="26">
        <v>2.0573668193172299E-6</v>
      </c>
      <c r="F12" s="30">
        <f t="shared" si="2"/>
        <v>876628.83889019443</v>
      </c>
      <c r="G12" s="32">
        <f t="shared" si="3"/>
        <v>1.0493247201515619E-2</v>
      </c>
      <c r="H12" s="31"/>
      <c r="I12" s="31"/>
      <c r="J12" s="31"/>
      <c r="K12" s="29">
        <v>-2.5152999999999999</v>
      </c>
      <c r="L12" s="24">
        <v>0.32</v>
      </c>
      <c r="M12" s="29">
        <f t="shared" si="4"/>
        <v>2.254999999999998E-8</v>
      </c>
      <c r="N12" s="26">
        <v>3.0652607701929799E-7</v>
      </c>
      <c r="O12" s="30">
        <f t="shared" si="5"/>
        <v>9857609.4443981033</v>
      </c>
      <c r="P12" s="32">
        <f t="shared" si="6"/>
        <v>0.22228909297117702</v>
      </c>
      <c r="Q12" s="31"/>
      <c r="R12" s="31"/>
      <c r="S12" s="29">
        <v>-2.4365000000000001</v>
      </c>
      <c r="T12" s="24">
        <v>-3.23</v>
      </c>
      <c r="U12" s="29">
        <f t="shared" si="8"/>
        <v>1.7379999999999994E-8</v>
      </c>
      <c r="V12" s="26">
        <v>1.26764964467383E-6</v>
      </c>
      <c r="W12" s="30">
        <f t="shared" si="9"/>
        <v>8744425.708079081</v>
      </c>
      <c r="X12" s="32">
        <f t="shared" si="7"/>
        <v>0.15197811880641438</v>
      </c>
      <c r="Y12" s="7"/>
      <c r="Z12" s="7"/>
      <c r="AA12" s="7"/>
      <c r="AB12" s="7"/>
      <c r="AC12" s="7"/>
    </row>
    <row r="13" spans="1:29" ht="16" customHeight="1">
      <c r="A13" s="33"/>
      <c r="B13" s="28">
        <v>-2.2275</v>
      </c>
      <c r="C13" s="24">
        <v>1.52</v>
      </c>
      <c r="D13" s="29">
        <f t="shared" si="1"/>
        <v>1.8520000000000003E-8</v>
      </c>
      <c r="E13" s="26">
        <v>3.55078116664861E-6</v>
      </c>
      <c r="F13" s="30">
        <f t="shared" si="2"/>
        <v>384131.5970037033</v>
      </c>
      <c r="G13" s="32">
        <f t="shared" si="3"/>
        <v>7.1141171765085861E-3</v>
      </c>
      <c r="H13" s="31"/>
      <c r="I13" s="31"/>
      <c r="J13" s="31"/>
      <c r="K13" s="29">
        <v>-2.2898000000000001</v>
      </c>
      <c r="L13" s="24">
        <v>-1.62</v>
      </c>
      <c r="M13" s="29">
        <f t="shared" si="4"/>
        <v>2.0080000000000008E-8</v>
      </c>
      <c r="N13" s="26">
        <v>1.6547852544620599E-7</v>
      </c>
      <c r="O13" s="30">
        <f t="shared" si="5"/>
        <v>8601968.3228755519</v>
      </c>
      <c r="P13" s="32">
        <f t="shared" si="6"/>
        <v>0.17272752392334115</v>
      </c>
      <c r="Q13" s="31"/>
      <c r="R13" s="31"/>
      <c r="S13" s="29">
        <v>-2.2627000000000002</v>
      </c>
      <c r="T13" s="24">
        <v>-5.2</v>
      </c>
      <c r="U13" s="29">
        <f t="shared" si="8"/>
        <v>1.5980000000000015E-8</v>
      </c>
      <c r="V13" s="26">
        <v>4.5058725947903702E-7</v>
      </c>
      <c r="W13" s="30">
        <f t="shared" si="9"/>
        <v>11455048.243175404</v>
      </c>
      <c r="X13" s="32">
        <f t="shared" si="7"/>
        <v>0.18305167092594313</v>
      </c>
      <c r="Y13" s="7"/>
      <c r="Z13" s="7"/>
      <c r="AA13" s="7"/>
      <c r="AB13" s="7"/>
      <c r="AC13" s="7"/>
    </row>
    <row r="14" spans="1:29" ht="16" customHeight="1">
      <c r="A14" s="33"/>
      <c r="B14" s="28">
        <v>-2.0423</v>
      </c>
      <c r="C14" s="24">
        <v>0.8</v>
      </c>
      <c r="D14" s="29">
        <f t="shared" si="1"/>
        <v>2.2609999999999995E-8</v>
      </c>
      <c r="E14" s="26">
        <v>3.1819483594847698E-7</v>
      </c>
      <c r="F14" s="30">
        <f t="shared" si="2"/>
        <v>4107478.2340212404</v>
      </c>
      <c r="G14" s="32">
        <f t="shared" si="3"/>
        <v>9.2870082871220228E-2</v>
      </c>
      <c r="H14" s="31"/>
      <c r="I14" s="31"/>
      <c r="J14" s="31"/>
      <c r="K14" s="29">
        <v>-2.089</v>
      </c>
      <c r="L14" s="24">
        <v>-2.5299999999999998</v>
      </c>
      <c r="M14" s="29">
        <f t="shared" si="4"/>
        <v>2.1120000000000003E-8</v>
      </c>
      <c r="N14" s="26">
        <v>3.6849929550067899E-7</v>
      </c>
      <c r="O14" s="30">
        <f t="shared" si="5"/>
        <v>2713709.3943186589</v>
      </c>
      <c r="P14" s="32">
        <f t="shared" si="6"/>
        <v>5.7313542408010086E-2</v>
      </c>
      <c r="Q14" s="31"/>
      <c r="R14" s="31"/>
      <c r="S14" s="29">
        <v>-2.1029</v>
      </c>
      <c r="T14" s="24">
        <v>-7.63</v>
      </c>
      <c r="U14" s="29">
        <f t="shared" si="8"/>
        <v>2.2199999999999997E-8</v>
      </c>
      <c r="V14" s="26">
        <v>1.41701635302204E-8</v>
      </c>
      <c r="W14" s="30">
        <f t="shared" si="9"/>
        <v>141884188.86485183</v>
      </c>
      <c r="X14" s="32">
        <f t="shared" si="7"/>
        <v>3.1498289927997103</v>
      </c>
      <c r="Y14" s="7"/>
      <c r="Z14" s="7"/>
      <c r="AA14" s="7"/>
      <c r="AB14" s="7"/>
      <c r="AC14" s="7"/>
    </row>
    <row r="15" spans="1:29" ht="16" customHeight="1">
      <c r="A15" s="33"/>
      <c r="B15" s="28">
        <v>-1.8162</v>
      </c>
      <c r="C15" s="24">
        <v>0.69</v>
      </c>
      <c r="D15" s="29">
        <f t="shared" si="1"/>
        <v>1.9940000000000002E-8</v>
      </c>
      <c r="E15" s="26">
        <v>1.17474703698631E-6</v>
      </c>
      <c r="F15" s="30">
        <f t="shared" si="2"/>
        <v>2193853.6726200851</v>
      </c>
      <c r="G15" s="32">
        <f t="shared" si="3"/>
        <v>4.3745442232044497E-2</v>
      </c>
      <c r="H15" s="31"/>
      <c r="I15" s="31"/>
      <c r="J15" s="31"/>
      <c r="K15" s="29">
        <v>-1.8777999999999999</v>
      </c>
      <c r="L15" s="24">
        <v>-2.27</v>
      </c>
      <c r="M15" s="29">
        <f t="shared" si="4"/>
        <v>1.5699999999999978E-8</v>
      </c>
      <c r="N15" s="26">
        <v>4.9836174640160395E-7</v>
      </c>
      <c r="O15" s="30">
        <f t="shared" si="5"/>
        <v>2219558.4246787424</v>
      </c>
      <c r="P15" s="32">
        <f t="shared" si="6"/>
        <v>3.4847067267456205E-2</v>
      </c>
      <c r="Q15" s="31"/>
      <c r="R15" s="31"/>
      <c r="S15" s="29">
        <v>-1.8809</v>
      </c>
      <c r="T15" s="24">
        <v>-9.43</v>
      </c>
      <c r="U15" s="29">
        <f t="shared" si="8"/>
        <v>1.8779999999999997E-8</v>
      </c>
      <c r="V15" s="26">
        <v>4.2364042138341099E-7</v>
      </c>
      <c r="W15" s="30">
        <f t="shared" si="9"/>
        <v>2360492.4117827774</v>
      </c>
      <c r="X15" s="32">
        <f t="shared" si="7"/>
        <v>4.4330047493280553E-2</v>
      </c>
      <c r="Y15" s="7"/>
      <c r="Z15" s="7"/>
      <c r="AA15" s="7"/>
      <c r="AB15" s="7"/>
      <c r="AC15" s="7"/>
    </row>
    <row r="16" spans="1:29" ht="16" customHeight="1">
      <c r="A16" s="33"/>
      <c r="B16" s="28">
        <v>-1.6168</v>
      </c>
      <c r="C16" s="24">
        <v>2.44</v>
      </c>
      <c r="D16" s="29">
        <f t="shared" si="1"/>
        <v>1.5680000000000005E-8</v>
      </c>
      <c r="E16" s="26">
        <v>1.1843245071224099E-6</v>
      </c>
      <c r="F16" s="30">
        <f t="shared" si="2"/>
        <v>5521958.2406533072</v>
      </c>
      <c r="G16" s="32">
        <f t="shared" si="3"/>
        <v>8.6584305213443888E-2</v>
      </c>
      <c r="H16" s="31"/>
      <c r="I16" s="31"/>
      <c r="J16" s="31"/>
      <c r="K16" s="29">
        <v>-1.7208000000000001</v>
      </c>
      <c r="L16" s="24">
        <v>-1.49</v>
      </c>
      <c r="M16" s="29">
        <f t="shared" si="4"/>
        <v>1.7210000000000013E-8</v>
      </c>
      <c r="N16" s="26">
        <v>3.9565586611763199E-7</v>
      </c>
      <c r="O16" s="30">
        <f t="shared" si="5"/>
        <v>3783794.2447725087</v>
      </c>
      <c r="P16" s="32">
        <f t="shared" si="6"/>
        <v>6.5119098952534926E-2</v>
      </c>
      <c r="Q16" s="31"/>
      <c r="R16" s="31"/>
      <c r="S16" s="29">
        <v>-1.6931</v>
      </c>
      <c r="T16" s="24">
        <v>-8.31</v>
      </c>
      <c r="U16" s="29">
        <f t="shared" si="8"/>
        <v>1.9769999999999998E-8</v>
      </c>
      <c r="V16" s="26">
        <v>1.53316627302404E-6</v>
      </c>
      <c r="W16" s="30">
        <f t="shared" si="9"/>
        <v>1007247.6397210583</v>
      </c>
      <c r="X16" s="32">
        <f t="shared" si="7"/>
        <v>1.991328583728532E-2</v>
      </c>
      <c r="Y16" s="7"/>
      <c r="Z16" s="7"/>
      <c r="AA16" s="7"/>
      <c r="AB16" s="7"/>
      <c r="AC16" s="7"/>
    </row>
    <row r="17" spans="1:29" ht="16" customHeight="1">
      <c r="A17" s="33"/>
      <c r="B17" s="28">
        <v>-1.46</v>
      </c>
      <c r="C17" s="24">
        <v>4.84</v>
      </c>
      <c r="D17" s="29">
        <f t="shared" si="1"/>
        <v>2.2770000000000001E-8</v>
      </c>
      <c r="E17" s="26">
        <v>5.1647960909100002E-7</v>
      </c>
      <c r="F17" s="30">
        <f t="shared" si="2"/>
        <v>52185954.144474469</v>
      </c>
      <c r="G17" s="32">
        <f t="shared" si="3"/>
        <v>1.1882741758696838</v>
      </c>
      <c r="H17" s="31"/>
      <c r="I17" s="31"/>
      <c r="J17" s="31"/>
      <c r="K17" s="29">
        <v>-1.5487</v>
      </c>
      <c r="L17" s="24">
        <v>0.4</v>
      </c>
      <c r="M17" s="29">
        <f t="shared" si="4"/>
        <v>2.0120000000000004E-8</v>
      </c>
      <c r="N17" s="26">
        <v>8.2340073357272105E-7</v>
      </c>
      <c r="O17" s="30">
        <f t="shared" si="5"/>
        <v>3785368.6320936889</v>
      </c>
      <c r="P17" s="32">
        <f t="shared" si="6"/>
        <v>7.6161616877725033E-2</v>
      </c>
      <c r="Q17" s="31"/>
      <c r="R17" s="31"/>
      <c r="S17" s="29">
        <v>-1.4954000000000001</v>
      </c>
      <c r="T17" s="24">
        <v>-5.04</v>
      </c>
      <c r="U17" s="29">
        <f t="shared" si="8"/>
        <v>1.7610000000000013E-8</v>
      </c>
      <c r="V17" s="26">
        <v>2.4830934070479501E-7</v>
      </c>
      <c r="W17" s="30">
        <f t="shared" si="9"/>
        <v>22117883.255068149</v>
      </c>
      <c r="X17" s="32">
        <f t="shared" si="7"/>
        <v>0.38949592412175038</v>
      </c>
      <c r="Y17" s="7"/>
      <c r="Z17" s="7"/>
      <c r="AA17" s="7"/>
      <c r="AB17" s="7"/>
      <c r="AC17" s="7"/>
    </row>
    <row r="18" spans="1:29" ht="16" customHeight="1">
      <c r="A18" s="33"/>
      <c r="B18" s="28">
        <v>-1.2323</v>
      </c>
      <c r="C18" s="24">
        <v>8.49</v>
      </c>
      <c r="D18" s="29">
        <f t="shared" si="1"/>
        <v>2.016E-8</v>
      </c>
      <c r="E18" s="26">
        <v>5.6426478866486803E-7</v>
      </c>
      <c r="F18" s="30">
        <f t="shared" si="2"/>
        <v>187908420.19482163</v>
      </c>
      <c r="G18" s="32">
        <f t="shared" si="3"/>
        <v>3.7882337511276041</v>
      </c>
      <c r="H18" s="31"/>
      <c r="I18" s="31"/>
      <c r="J18" s="31"/>
      <c r="K18" s="29">
        <v>-1.3474999999999999</v>
      </c>
      <c r="L18" s="24">
        <v>3.59</v>
      </c>
      <c r="M18" s="29">
        <f t="shared" si="4"/>
        <v>1.6039999999999987E-8</v>
      </c>
      <c r="N18" s="26">
        <v>5.5296790428315102E-8</v>
      </c>
      <c r="O18" s="30">
        <f t="shared" si="5"/>
        <v>194334636.80143437</v>
      </c>
      <c r="P18" s="32">
        <f t="shared" si="6"/>
        <v>3.1171275742950049</v>
      </c>
      <c r="Q18" s="31"/>
      <c r="R18" s="31"/>
      <c r="S18" s="29">
        <v>-1.3192999999999999</v>
      </c>
      <c r="T18" s="24">
        <v>-0.49</v>
      </c>
      <c r="U18" s="29">
        <f t="shared" si="8"/>
        <v>1.8149999999999997E-8</v>
      </c>
      <c r="V18" s="26">
        <v>2.0077212899564099E-7</v>
      </c>
      <c r="W18" s="30">
        <f t="shared" si="9"/>
        <v>159856610.42491651</v>
      </c>
      <c r="X18" s="32">
        <f t="shared" si="7"/>
        <v>2.9013974792122341</v>
      </c>
      <c r="Y18" s="7"/>
      <c r="Z18" s="7"/>
      <c r="AA18" s="7"/>
      <c r="AB18" s="7"/>
      <c r="AC18" s="7"/>
    </row>
    <row r="19" spans="1:29" ht="16" customHeight="1">
      <c r="A19" s="33"/>
      <c r="B19" s="28">
        <v>-1.0306999999999999</v>
      </c>
      <c r="C19" s="24">
        <v>12.02</v>
      </c>
      <c r="D19" s="29">
        <f t="shared" si="1"/>
        <v>1.5296999999999995E-8</v>
      </c>
      <c r="E19" s="26">
        <v>2.8104178666561898E-7</v>
      </c>
      <c r="F19" s="30">
        <f t="shared" si="2"/>
        <v>612758648.0742259</v>
      </c>
      <c r="G19" s="32">
        <f t="shared" si="3"/>
        <v>9.3733690395914309</v>
      </c>
      <c r="H19" s="31"/>
      <c r="I19" s="31"/>
      <c r="J19" s="31"/>
      <c r="K19" s="29">
        <v>-1.1871</v>
      </c>
      <c r="L19" s="24">
        <v>6.42</v>
      </c>
      <c r="M19" s="29">
        <f t="shared" si="4"/>
        <v>1.4280000000000003E-8</v>
      </c>
      <c r="N19" s="26">
        <v>2.8423796637636002E-7</v>
      </c>
      <c r="O19" s="30">
        <f t="shared" si="5"/>
        <v>113354035.5775485</v>
      </c>
      <c r="P19" s="32">
        <f t="shared" si="6"/>
        <v>1.618695628047393</v>
      </c>
      <c r="Q19" s="31"/>
      <c r="R19" s="31"/>
      <c r="S19" s="29">
        <v>-1.1377999999999999</v>
      </c>
      <c r="T19" s="24">
        <v>5.14</v>
      </c>
      <c r="U19" s="29">
        <f t="shared" si="8"/>
        <v>2.2731999999999995E-8</v>
      </c>
      <c r="V19" s="26">
        <v>2.7800052592109198E-7</v>
      </c>
      <c r="W19" s="30">
        <f t="shared" si="9"/>
        <v>1025819927.2438499</v>
      </c>
      <c r="X19" s="32">
        <f t="shared" si="7"/>
        <v>23.318938586107191</v>
      </c>
      <c r="Y19" s="7"/>
      <c r="Z19" s="7"/>
      <c r="AA19" s="7"/>
      <c r="AB19" s="7"/>
      <c r="AC19" s="7"/>
    </row>
    <row r="20" spans="1:29" ht="16" customHeight="1">
      <c r="A20" s="33"/>
      <c r="B20" s="28">
        <v>-0.87773000000000001</v>
      </c>
      <c r="C20" s="24">
        <v>13.27</v>
      </c>
      <c r="D20" s="29">
        <f t="shared" si="1"/>
        <v>1.8386999999999998E-8</v>
      </c>
      <c r="E20" s="26">
        <v>7.8458684794318494E-8</v>
      </c>
      <c r="F20" s="30">
        <f t="shared" si="2"/>
        <v>1976619127.6301274</v>
      </c>
      <c r="G20" s="32">
        <f t="shared" si="3"/>
        <v>36.344095899735152</v>
      </c>
      <c r="H20" s="31"/>
      <c r="I20" s="31"/>
      <c r="J20" s="31"/>
      <c r="K20" s="29">
        <v>-1.0443</v>
      </c>
      <c r="L20" s="24">
        <v>8.74</v>
      </c>
      <c r="M20" s="29">
        <f t="shared" si="4"/>
        <v>1.7015999999999998E-8</v>
      </c>
      <c r="N20" s="26">
        <v>4.1715867561850601E-8</v>
      </c>
      <c r="O20" s="30">
        <f t="shared" si="5"/>
        <v>1899980825.9530795</v>
      </c>
      <c r="P20" s="32">
        <f t="shared" si="6"/>
        <v>32.330073734417596</v>
      </c>
      <c r="Q20" s="31"/>
      <c r="R20" s="31"/>
      <c r="S20" s="29">
        <v>-0.91047999999999996</v>
      </c>
      <c r="T20" s="24">
        <v>13.03</v>
      </c>
      <c r="U20" s="29">
        <f t="shared" si="8"/>
        <v>1.090899999999999E-8</v>
      </c>
      <c r="V20" s="26">
        <v>4.9279203726534301E-7</v>
      </c>
      <c r="W20" s="30">
        <f t="shared" si="9"/>
        <v>12358248414.165569</v>
      </c>
      <c r="X20" s="32">
        <f t="shared" si="7"/>
        <v>134.81613195013207</v>
      </c>
      <c r="Y20" s="7"/>
      <c r="Z20" s="7"/>
      <c r="AA20" s="7"/>
      <c r="AB20" s="7"/>
      <c r="AC20" s="7"/>
    </row>
    <row r="21" spans="1:29" ht="16" customHeight="1">
      <c r="A21" s="33"/>
      <c r="B21" s="28">
        <v>-0.69386000000000003</v>
      </c>
      <c r="C21" s="24">
        <v>13</v>
      </c>
      <c r="D21" s="29">
        <f t="shared" si="1"/>
        <v>2.0304999999999999E-8</v>
      </c>
      <c r="E21" s="26">
        <v>4.9833424595400398E-7</v>
      </c>
      <c r="F21" s="30">
        <f t="shared" si="2"/>
        <v>218627003.78391066</v>
      </c>
      <c r="G21" s="32">
        <f t="shared" si="3"/>
        <v>4.4392213118323056</v>
      </c>
      <c r="H21" s="31"/>
      <c r="I21" s="31"/>
      <c r="J21" s="31"/>
      <c r="K21" s="29">
        <v>-0.87414000000000003</v>
      </c>
      <c r="L21" s="24">
        <v>12.06</v>
      </c>
      <c r="M21" s="29">
        <f t="shared" si="4"/>
        <v>2.0910000000000007E-8</v>
      </c>
      <c r="N21" s="26">
        <v>5.1112281773389596E-7</v>
      </c>
      <c r="O21" s="30">
        <f t="shared" si="5"/>
        <v>562291577.04077017</v>
      </c>
      <c r="P21" s="32">
        <f t="shared" si="6"/>
        <v>11.757516875922509</v>
      </c>
      <c r="Q21" s="31"/>
      <c r="R21" s="31"/>
      <c r="S21" s="29">
        <v>-0.80139000000000005</v>
      </c>
      <c r="T21" s="24">
        <v>17.3</v>
      </c>
      <c r="U21" s="29">
        <f t="shared" si="8"/>
        <v>1.8784000000000001E-8</v>
      </c>
      <c r="V21" s="26">
        <v>8.5383780731549896E-9</v>
      </c>
      <c r="W21" s="30">
        <f t="shared" si="9"/>
        <v>3739049792092.3677</v>
      </c>
      <c r="X21" s="32">
        <f t="shared" si="7"/>
        <v>70234.311294663043</v>
      </c>
      <c r="Y21" s="7"/>
      <c r="Z21" s="7"/>
      <c r="AA21" s="7"/>
      <c r="AB21" s="7"/>
      <c r="AC21" s="7"/>
    </row>
    <row r="22" spans="1:29" ht="16" customHeight="1">
      <c r="A22" s="33"/>
      <c r="B22" s="28">
        <v>-0.49081000000000002</v>
      </c>
      <c r="C22" s="24">
        <v>12.09</v>
      </c>
      <c r="D22" s="29">
        <f t="shared" si="1"/>
        <v>2.2623999999999998E-8</v>
      </c>
      <c r="E22" s="26">
        <v>2.4567596852331099E-6</v>
      </c>
      <c r="F22" s="30">
        <f t="shared" si="2"/>
        <v>25462428.206172206</v>
      </c>
      <c r="G22" s="32">
        <f t="shared" si="3"/>
        <v>0.57606197573643991</v>
      </c>
      <c r="H22" s="31"/>
      <c r="I22" s="31"/>
      <c r="J22" s="31"/>
      <c r="K22" s="29">
        <v>-0.66503999999999996</v>
      </c>
      <c r="L22" s="24">
        <v>15.18</v>
      </c>
      <c r="M22" s="29">
        <f t="shared" si="4"/>
        <v>2.0710999999999996E-8</v>
      </c>
      <c r="N22" s="26">
        <v>6.5393360274886401E-10</v>
      </c>
      <c r="O22" s="30">
        <f t="shared" si="5"/>
        <v>1474648648271.7568</v>
      </c>
      <c r="P22" s="32">
        <f t="shared" si="6"/>
        <v>30541.448154356349</v>
      </c>
      <c r="Q22" s="31"/>
      <c r="R22" s="31"/>
      <c r="S22" s="29">
        <v>-0.61355000000000004</v>
      </c>
      <c r="T22" s="24">
        <v>21.86</v>
      </c>
      <c r="U22" s="29">
        <f t="shared" si="8"/>
        <v>1.9919000000000001E-8</v>
      </c>
      <c r="V22" s="26">
        <v>4.18783500650635E-7</v>
      </c>
      <c r="W22" s="30">
        <f t="shared" si="9"/>
        <v>447228552175.93579</v>
      </c>
      <c r="X22" s="32">
        <f t="shared" si="7"/>
        <v>8908.3455307924651</v>
      </c>
      <c r="Y22" s="7"/>
      <c r="Z22" s="7"/>
      <c r="AA22" s="7"/>
      <c r="AB22" s="7"/>
      <c r="AC22" s="7"/>
    </row>
    <row r="23" spans="1:29" ht="16" customHeight="1">
      <c r="A23" s="33"/>
      <c r="B23" s="28">
        <v>-0.26457000000000003</v>
      </c>
      <c r="C23" s="24">
        <v>10.66</v>
      </c>
      <c r="D23" s="29">
        <f t="shared" si="1"/>
        <v>2.0194800000000002E-8</v>
      </c>
      <c r="E23" s="26">
        <v>6.4884013459444397E-6</v>
      </c>
      <c r="F23" s="30">
        <f t="shared" si="2"/>
        <v>7263002.5020492207</v>
      </c>
      <c r="G23" s="32">
        <f t="shared" si="3"/>
        <v>0.14667488292838363</v>
      </c>
      <c r="H23" s="31"/>
      <c r="I23" s="31"/>
      <c r="J23" s="31"/>
      <c r="K23" s="29">
        <v>-0.45793</v>
      </c>
      <c r="L23" s="24">
        <v>16.09</v>
      </c>
      <c r="M23" s="29">
        <f t="shared" si="4"/>
        <v>2.0246999999999996E-8</v>
      </c>
      <c r="N23" s="26">
        <v>1.55860655991859E-6</v>
      </c>
      <c r="O23" s="30">
        <f t="shared" si="5"/>
        <v>880694314.97205281</v>
      </c>
      <c r="P23" s="32">
        <f t="shared" si="6"/>
        <v>17.831417795239151</v>
      </c>
      <c r="Q23" s="31"/>
      <c r="R23" s="31"/>
      <c r="S23" s="29">
        <v>-0.41436000000000001</v>
      </c>
      <c r="T23" s="24">
        <v>22.45</v>
      </c>
      <c r="U23" s="29">
        <f t="shared" si="8"/>
        <v>1.9909999999999998E-8</v>
      </c>
      <c r="V23" s="26">
        <v>9.3407256912143096E-7</v>
      </c>
      <c r="W23" s="30">
        <f t="shared" si="9"/>
        <v>252090437593.35669</v>
      </c>
      <c r="X23" s="32">
        <f t="shared" si="7"/>
        <v>5019.1206124837308</v>
      </c>
      <c r="Y23" s="7"/>
      <c r="Z23" s="7"/>
      <c r="AA23" s="7"/>
      <c r="AB23" s="7"/>
      <c r="AC23" s="7"/>
    </row>
    <row r="24" spans="1:29" ht="16" customHeight="1">
      <c r="A24" s="33"/>
      <c r="B24" s="28">
        <v>-6.2621999999999997E-2</v>
      </c>
      <c r="C24" s="24">
        <v>9.93</v>
      </c>
      <c r="D24" s="29">
        <f t="shared" si="1"/>
        <v>1.8997199999999996E-8</v>
      </c>
      <c r="E24" s="26">
        <v>7.3384555951464301E-6</v>
      </c>
      <c r="F24" s="30">
        <f t="shared" si="2"/>
        <v>6572937.8261859901</v>
      </c>
      <c r="G24" s="32">
        <f t="shared" si="3"/>
        <v>0.12486741447162046</v>
      </c>
      <c r="H24" s="31"/>
      <c r="I24" s="31"/>
      <c r="J24" s="31"/>
      <c r="K24" s="29">
        <v>-0.25546000000000002</v>
      </c>
      <c r="L24" s="24">
        <v>16.91</v>
      </c>
      <c r="M24" s="29">
        <f t="shared" si="4"/>
        <v>1.9612800000000001E-8</v>
      </c>
      <c r="N24" s="26">
        <v>1.06252816200895E-6</v>
      </c>
      <c r="O24" s="30">
        <f t="shared" si="5"/>
        <v>1775805026.6703014</v>
      </c>
      <c r="P24" s="32">
        <f t="shared" si="6"/>
        <v>34.82850882707929</v>
      </c>
      <c r="Q24" s="31"/>
      <c r="R24" s="31"/>
      <c r="S24" s="29">
        <v>-0.21526000000000001</v>
      </c>
      <c r="T24" s="24">
        <v>22.6</v>
      </c>
      <c r="U24" s="29">
        <f t="shared" si="8"/>
        <v>1.3394800000000001E-8</v>
      </c>
      <c r="V24" s="26">
        <v>2.0088761232668101E-6</v>
      </c>
      <c r="W24" s="30">
        <f t="shared" si="9"/>
        <v>124239464900.59781</v>
      </c>
      <c r="X24" s="32">
        <f t="shared" si="7"/>
        <v>1664.1627844505276</v>
      </c>
      <c r="Y24" s="7"/>
      <c r="Z24" s="7"/>
      <c r="AA24" s="7"/>
      <c r="AB24" s="7"/>
      <c r="AC24" s="7"/>
    </row>
    <row r="25" spans="1:29" ht="16" customHeight="1">
      <c r="A25" s="33"/>
      <c r="B25" s="28">
        <v>0.12734999999999999</v>
      </c>
      <c r="C25" s="24">
        <v>9.99</v>
      </c>
      <c r="D25" s="29">
        <f t="shared" si="1"/>
        <v>1.9118E-8</v>
      </c>
      <c r="E25" s="26">
        <v>8.2230972899465008E-6</v>
      </c>
      <c r="F25" s="30">
        <f t="shared" si="2"/>
        <v>5865820.4647652917</v>
      </c>
      <c r="G25" s="32">
        <f t="shared" si="3"/>
        <v>0.11214275564538284</v>
      </c>
      <c r="H25" s="31"/>
      <c r="I25" s="31"/>
      <c r="J25" s="31"/>
      <c r="K25" s="29">
        <v>-5.9332000000000003E-2</v>
      </c>
      <c r="L25" s="24">
        <v>16.850000000000001</v>
      </c>
      <c r="M25" s="29">
        <f t="shared" si="4"/>
        <v>1.56867E-8</v>
      </c>
      <c r="N25" s="26">
        <v>1.9060650033381E-6</v>
      </c>
      <c r="O25" s="30">
        <f t="shared" si="5"/>
        <v>967136397.0571903</v>
      </c>
      <c r="P25" s="32">
        <f t="shared" si="6"/>
        <v>15.171178519717028</v>
      </c>
      <c r="Q25" s="31"/>
      <c r="R25" s="31"/>
      <c r="S25" s="29">
        <v>-8.1311999999999995E-2</v>
      </c>
      <c r="T25" s="24">
        <v>22.6</v>
      </c>
      <c r="U25" s="29">
        <f t="shared" si="8"/>
        <v>2.0753199999999998E-8</v>
      </c>
      <c r="V25" s="26">
        <v>2.8922108058318098E-6</v>
      </c>
      <c r="W25" s="30">
        <f t="shared" si="9"/>
        <v>86294434037.450912</v>
      </c>
      <c r="X25" s="32">
        <f t="shared" si="7"/>
        <v>1790.8856484660262</v>
      </c>
      <c r="Y25" s="7"/>
      <c r="Z25" s="7"/>
      <c r="AA25" s="7"/>
      <c r="AB25" s="7"/>
      <c r="AC25" s="7"/>
    </row>
    <row r="26" spans="1:29" ht="16" customHeight="1">
      <c r="A26" s="33"/>
      <c r="B26" s="28">
        <v>0.31852999999999998</v>
      </c>
      <c r="C26" s="24">
        <v>9.99</v>
      </c>
      <c r="D26" s="29">
        <f t="shared" si="1"/>
        <v>3.8765999999999998E-8</v>
      </c>
      <c r="E26" s="26">
        <v>3.54187200599125E-6</v>
      </c>
      <c r="F26" s="30">
        <f t="shared" si="2"/>
        <v>13305188.648878133</v>
      </c>
      <c r="G26" s="32">
        <f t="shared" si="3"/>
        <v>0.51578894316240964</v>
      </c>
      <c r="H26" s="31"/>
      <c r="I26" s="31"/>
      <c r="J26" s="31"/>
      <c r="K26" s="29">
        <v>9.7534999999999997E-2</v>
      </c>
      <c r="L26" s="24">
        <v>16.77</v>
      </c>
      <c r="M26" s="29">
        <f t="shared" si="4"/>
        <v>3.9826500000000003E-8</v>
      </c>
      <c r="N26" s="26">
        <v>1.8666434324696099E-6</v>
      </c>
      <c r="O26" s="30">
        <f t="shared" si="5"/>
        <v>957378509.75056422</v>
      </c>
      <c r="P26" s="32">
        <f t="shared" si="6"/>
        <v>38.129035218580846</v>
      </c>
      <c r="Q26" s="31"/>
      <c r="R26" s="31"/>
      <c r="S26" s="29">
        <v>0.12622</v>
      </c>
      <c r="T26" s="24">
        <v>22.6</v>
      </c>
      <c r="U26" s="29">
        <f t="shared" si="8"/>
        <v>2.1798000000000001E-8</v>
      </c>
      <c r="V26" s="26">
        <v>1.6214275163304101E-6</v>
      </c>
      <c r="W26" s="30">
        <f t="shared" si="9"/>
        <v>153927136484.7103</v>
      </c>
      <c r="X26" s="32">
        <f t="shared" si="7"/>
        <v>3355.303721093715</v>
      </c>
      <c r="Y26" s="7"/>
      <c r="Z26" s="7"/>
      <c r="AA26" s="7"/>
      <c r="AB26" s="7"/>
      <c r="AC26" s="7"/>
    </row>
    <row r="27" spans="1:29" ht="16" customHeight="1">
      <c r="A27" s="33"/>
      <c r="B27" s="28">
        <v>0.70618999999999998</v>
      </c>
      <c r="C27" s="24">
        <v>9.93</v>
      </c>
      <c r="D27" s="29">
        <f t="shared" si="1"/>
        <v>1.9598000000000004E-8</v>
      </c>
      <c r="E27" s="26">
        <v>3.4284145680401299E-6</v>
      </c>
      <c r="F27" s="30">
        <f t="shared" si="2"/>
        <v>18246062.681044493</v>
      </c>
      <c r="G27" s="32">
        <f t="shared" si="3"/>
        <v>0.35758633642311005</v>
      </c>
      <c r="H27" s="31"/>
      <c r="I27" s="31"/>
      <c r="J27" s="31"/>
      <c r="K27" s="29">
        <v>0.49580000000000002</v>
      </c>
      <c r="L27" s="24">
        <v>16.09</v>
      </c>
      <c r="M27" s="29">
        <f t="shared" si="4"/>
        <v>2.1987E-8</v>
      </c>
      <c r="N27" s="26">
        <v>7.0901045958112299E-7</v>
      </c>
      <c r="O27" s="30">
        <f t="shared" si="5"/>
        <v>1936016483.324383</v>
      </c>
      <c r="P27" s="32">
        <f t="shared" si="6"/>
        <v>42.567194418853212</v>
      </c>
      <c r="Q27" s="31"/>
      <c r="R27" s="31"/>
      <c r="S27" s="29">
        <v>0.34420000000000001</v>
      </c>
      <c r="T27" s="24">
        <v>22.43</v>
      </c>
      <c r="U27" s="29">
        <f t="shared" si="8"/>
        <v>2.4684999999999996E-8</v>
      </c>
      <c r="V27" s="26">
        <v>1.6390673969483099E-6</v>
      </c>
      <c r="W27" s="30">
        <f t="shared" si="9"/>
        <v>142550938301.24203</v>
      </c>
      <c r="X27" s="32">
        <f t="shared" si="7"/>
        <v>3518.8699119661592</v>
      </c>
      <c r="Y27" s="7"/>
      <c r="Z27" s="7"/>
      <c r="AA27" s="7"/>
      <c r="AB27" s="7"/>
      <c r="AC27" s="7"/>
    </row>
    <row r="28" spans="1:29" ht="16" customHeight="1">
      <c r="A28" s="33"/>
      <c r="B28" s="28">
        <v>0.90217000000000003</v>
      </c>
      <c r="C28" s="24">
        <v>10.66</v>
      </c>
      <c r="D28" s="29">
        <f t="shared" si="1"/>
        <v>1.8593000000000003E-8</v>
      </c>
      <c r="E28" s="26">
        <v>2.89618253003223E-8</v>
      </c>
      <c r="F28" s="30">
        <f t="shared" si="2"/>
        <v>3761825159.3633451</v>
      </c>
      <c r="G28" s="32">
        <f t="shared" si="3"/>
        <v>69.943615188042685</v>
      </c>
      <c r="H28" s="31"/>
      <c r="I28" s="31"/>
      <c r="J28" s="31"/>
      <c r="K28" s="29">
        <v>0.71567000000000003</v>
      </c>
      <c r="L28" s="24">
        <v>15.18</v>
      </c>
      <c r="M28" s="29">
        <f t="shared" si="4"/>
        <v>1.7124999999999999E-8</v>
      </c>
      <c r="N28" s="26">
        <v>1.03218883413742E-7</v>
      </c>
      <c r="O28" s="30">
        <f t="shared" si="5"/>
        <v>9342498886.4460793</v>
      </c>
      <c r="P28" s="32">
        <f t="shared" si="6"/>
        <v>159.9902934303891</v>
      </c>
      <c r="Q28" s="31"/>
      <c r="R28" s="31"/>
      <c r="S28" s="29">
        <v>0.59104999999999996</v>
      </c>
      <c r="T28" s="24">
        <v>22.45</v>
      </c>
      <c r="U28" s="29">
        <f t="shared" si="8"/>
        <v>2.1022000000000008E-8</v>
      </c>
      <c r="V28" s="26">
        <v>7.8317005191670603E-7</v>
      </c>
      <c r="W28" s="30">
        <f t="shared" si="9"/>
        <v>300663645293.23944</v>
      </c>
      <c r="X28" s="32">
        <f t="shared" si="7"/>
        <v>6320.5511513544816</v>
      </c>
      <c r="Y28" s="7"/>
      <c r="Z28" s="7"/>
      <c r="AA28" s="7"/>
      <c r="AB28" s="7"/>
      <c r="AC28" s="7"/>
    </row>
    <row r="29" spans="1:29" ht="16" customHeight="1">
      <c r="A29" s="33"/>
      <c r="B29" s="28">
        <v>1.0881000000000001</v>
      </c>
      <c r="C29" s="24">
        <v>12.09</v>
      </c>
      <c r="D29" s="29">
        <f t="shared" si="1"/>
        <v>2.2919999999999983E-8</v>
      </c>
      <c r="E29" s="26">
        <v>9.4735484226822602E-7</v>
      </c>
      <c r="F29" s="30">
        <f t="shared" si="2"/>
        <v>163701002.17342225</v>
      </c>
      <c r="G29" s="32">
        <f t="shared" si="3"/>
        <v>3.752026969814835</v>
      </c>
      <c r="H29" s="31"/>
      <c r="I29" s="31"/>
      <c r="J29" s="31"/>
      <c r="K29" s="29">
        <v>0.88692000000000004</v>
      </c>
      <c r="L29" s="24">
        <v>12.06</v>
      </c>
      <c r="M29" s="29">
        <f t="shared" si="4"/>
        <v>2.5948000000000002E-8</v>
      </c>
      <c r="N29" s="26">
        <v>1.7785540292855399E-7</v>
      </c>
      <c r="O29" s="30">
        <f t="shared" si="5"/>
        <v>1615919733.1810355</v>
      </c>
      <c r="P29" s="32">
        <f t="shared" si="6"/>
        <v>41.929885236581512</v>
      </c>
      <c r="Q29" s="31"/>
      <c r="R29" s="31"/>
      <c r="S29" s="29">
        <v>0.80127000000000004</v>
      </c>
      <c r="T29" s="24">
        <v>21.86</v>
      </c>
      <c r="U29" s="29">
        <f t="shared" si="8"/>
        <v>2.0482999999999996E-8</v>
      </c>
      <c r="V29" s="26">
        <v>4.2317698852302902E-7</v>
      </c>
      <c r="W29" s="30">
        <f t="shared" si="9"/>
        <v>442585357310.75378</v>
      </c>
      <c r="X29" s="32">
        <f t="shared" si="7"/>
        <v>9065.4758737961674</v>
      </c>
      <c r="Y29" s="7"/>
      <c r="Z29" s="7"/>
      <c r="AA29" s="7"/>
      <c r="AB29" s="7"/>
      <c r="AC29" s="7"/>
    </row>
    <row r="30" spans="1:29" ht="16" customHeight="1">
      <c r="A30" s="33"/>
      <c r="B30" s="28">
        <v>1.3172999999999999</v>
      </c>
      <c r="C30" s="24">
        <v>13</v>
      </c>
      <c r="D30" s="29">
        <f t="shared" si="1"/>
        <v>2.0470000000000011E-8</v>
      </c>
      <c r="E30" s="26">
        <v>7.3088839568578297E-7</v>
      </c>
      <c r="F30" s="30">
        <f t="shared" si="2"/>
        <v>235618442.24932122</v>
      </c>
      <c r="G30" s="32">
        <f t="shared" si="3"/>
        <v>4.8231095128436081</v>
      </c>
      <c r="H30" s="31"/>
      <c r="I30" s="31"/>
      <c r="J30" s="31"/>
      <c r="K30" s="29">
        <v>1.1464000000000001</v>
      </c>
      <c r="L30" s="24">
        <v>8.74</v>
      </c>
      <c r="M30" s="29">
        <f t="shared" si="4"/>
        <v>1.6799999999999992E-8</v>
      </c>
      <c r="N30" s="26">
        <v>3.88316624009661E-7</v>
      </c>
      <c r="O30" s="30">
        <f t="shared" si="5"/>
        <v>204110109.13491634</v>
      </c>
      <c r="P30" s="32">
        <f t="shared" si="6"/>
        <v>3.4290498334665926</v>
      </c>
      <c r="Q30" s="31"/>
      <c r="R30" s="31"/>
      <c r="S30" s="29">
        <v>1.0061</v>
      </c>
      <c r="T30" s="24">
        <v>17.3</v>
      </c>
      <c r="U30" s="29">
        <f t="shared" si="8"/>
        <v>2.550000000000001E-8</v>
      </c>
      <c r="V30" s="26">
        <v>9.2471441309222301E-8</v>
      </c>
      <c r="W30" s="30">
        <f t="shared" si="9"/>
        <v>345246276117.59991</v>
      </c>
      <c r="X30" s="32">
        <f t="shared" si="7"/>
        <v>8803.7800409988013</v>
      </c>
      <c r="Y30" s="7"/>
      <c r="Z30" s="7"/>
      <c r="AA30" s="7"/>
      <c r="AB30" s="7"/>
      <c r="AC30" s="7"/>
    </row>
    <row r="31" spans="1:29" ht="16" customHeight="1">
      <c r="A31" s="33"/>
      <c r="B31" s="28">
        <v>1.522</v>
      </c>
      <c r="C31" s="24">
        <v>13.27</v>
      </c>
      <c r="D31" s="29">
        <f t="shared" si="1"/>
        <v>1.7199999999999992E-8</v>
      </c>
      <c r="E31" s="26">
        <v>9.6606893301560003E-7</v>
      </c>
      <c r="F31" s="30">
        <f t="shared" si="2"/>
        <v>109754181.4936596</v>
      </c>
      <c r="G31" s="32">
        <f t="shared" si="3"/>
        <v>1.8877719216909443</v>
      </c>
      <c r="H31" s="31"/>
      <c r="I31" s="31"/>
      <c r="J31" s="31"/>
      <c r="K31" s="29">
        <v>1.3144</v>
      </c>
      <c r="L31" s="24">
        <v>6.42</v>
      </c>
      <c r="M31" s="29">
        <f t="shared" si="4"/>
        <v>1.8110000000000005E-8</v>
      </c>
      <c r="N31" s="26">
        <v>2.33528710795424E-7</v>
      </c>
      <c r="O31" s="30">
        <f t="shared" si="5"/>
        <v>137968134.38216132</v>
      </c>
      <c r="P31" s="32">
        <f t="shared" si="6"/>
        <v>2.498602913660942</v>
      </c>
      <c r="Q31" s="31"/>
      <c r="R31" s="31"/>
      <c r="S31" s="29">
        <v>1.2611000000000001</v>
      </c>
      <c r="T31" s="24">
        <v>13.03</v>
      </c>
      <c r="U31" s="29">
        <f t="shared" si="8"/>
        <v>1.6289999999999982E-8</v>
      </c>
      <c r="V31" s="26">
        <v>4.3060016458135102E-7</v>
      </c>
      <c r="W31" s="30">
        <f t="shared" si="9"/>
        <v>14143158581.85717</v>
      </c>
      <c r="X31" s="32">
        <f t="shared" si="7"/>
        <v>230.39205329845305</v>
      </c>
      <c r="Y31" s="7"/>
      <c r="Z31" s="7"/>
      <c r="AA31" s="7"/>
      <c r="AB31" s="7"/>
      <c r="AC31" s="7"/>
    </row>
    <row r="32" spans="1:29" ht="16" customHeight="1">
      <c r="A32" s="33"/>
      <c r="B32" s="28">
        <v>1.694</v>
      </c>
      <c r="C32" s="24">
        <v>12.02</v>
      </c>
      <c r="D32" s="29">
        <f t="shared" si="1"/>
        <v>1.9100000000000006E-8</v>
      </c>
      <c r="E32" s="26">
        <v>6.4244643808172003E-7</v>
      </c>
      <c r="F32" s="30">
        <f t="shared" si="2"/>
        <v>41953662.747446932</v>
      </c>
      <c r="G32" s="32">
        <f t="shared" si="3"/>
        <v>0.80131495847623668</v>
      </c>
      <c r="H32" s="31"/>
      <c r="I32" s="31"/>
      <c r="J32" s="31"/>
      <c r="K32" s="29">
        <v>1.4955000000000001</v>
      </c>
      <c r="L32" s="24">
        <v>3.59</v>
      </c>
      <c r="M32" s="29">
        <f t="shared" si="4"/>
        <v>1.2349999999999993E-8</v>
      </c>
      <c r="N32" s="26">
        <v>7.3128641712495203E-7</v>
      </c>
      <c r="O32" s="30">
        <f t="shared" si="5"/>
        <v>14694764.503379948</v>
      </c>
      <c r="P32" s="32">
        <f t="shared" si="6"/>
        <v>0.18148034161674226</v>
      </c>
      <c r="Q32" s="31"/>
      <c r="R32" s="31"/>
      <c r="S32" s="29">
        <v>1.4239999999999999</v>
      </c>
      <c r="T32" s="24">
        <v>5.14</v>
      </c>
      <c r="U32" s="29">
        <f t="shared" si="8"/>
        <v>2.1050000000000013E-8</v>
      </c>
      <c r="V32" s="26">
        <v>2.80709332371154E-7</v>
      </c>
      <c r="W32" s="30">
        <f t="shared" si="9"/>
        <v>1015920906.03195</v>
      </c>
      <c r="X32" s="32">
        <f t="shared" si="7"/>
        <v>21.385135071972559</v>
      </c>
      <c r="Y32" s="7"/>
      <c r="Z32" s="7"/>
      <c r="AA32" s="7"/>
      <c r="AB32" s="7"/>
      <c r="AC32" s="7"/>
    </row>
    <row r="33" spans="1:29" ht="16" customHeight="1">
      <c r="A33" s="33"/>
      <c r="B33" s="28">
        <v>1.885</v>
      </c>
      <c r="C33" s="24">
        <v>8.49</v>
      </c>
      <c r="D33" s="32">
        <f t="shared" si="1"/>
        <v>1.7000000000000013E-8</v>
      </c>
      <c r="E33" s="26">
        <v>1.0233384273511199E-6</v>
      </c>
      <c r="F33" s="30">
        <f t="shared" si="2"/>
        <v>6390642.9162836233</v>
      </c>
      <c r="G33" s="32">
        <f t="shared" si="3"/>
        <v>0.10864092957682168</v>
      </c>
      <c r="H33" s="31"/>
      <c r="I33" s="31"/>
      <c r="J33" s="31"/>
      <c r="K33" s="29">
        <v>1.619</v>
      </c>
      <c r="L33" s="24">
        <v>0.4</v>
      </c>
      <c r="M33" s="32">
        <f t="shared" si="4"/>
        <v>1.7510000000000003E-8</v>
      </c>
      <c r="N33" s="26">
        <v>1.12008732051958E-6</v>
      </c>
      <c r="O33" s="30">
        <f t="shared" si="5"/>
        <v>2782707.429509399</v>
      </c>
      <c r="P33" s="32">
        <f t="shared" si="6"/>
        <v>4.8725207090709585E-2</v>
      </c>
      <c r="Q33" s="31"/>
      <c r="R33" s="31"/>
      <c r="S33" s="29">
        <v>1.6345000000000001</v>
      </c>
      <c r="T33" s="24">
        <v>-0.49</v>
      </c>
      <c r="U33" s="29">
        <f t="shared" si="8"/>
        <v>1.9469999999999985E-8</v>
      </c>
      <c r="V33" s="26">
        <v>9.8636804914831505E-8</v>
      </c>
      <c r="W33" s="30">
        <f t="shared" si="9"/>
        <v>325383126.88402325</v>
      </c>
      <c r="X33" s="32">
        <f t="shared" si="7"/>
        <v>6.3352094804319279</v>
      </c>
      <c r="Y33" s="7"/>
      <c r="Z33" s="7"/>
      <c r="AA33" s="7"/>
      <c r="AB33" s="7"/>
      <c r="AC33" s="7"/>
    </row>
    <row r="34" spans="1:29" ht="16" customHeight="1">
      <c r="A34" s="33"/>
      <c r="B34" s="28">
        <v>2.0550000000000002</v>
      </c>
      <c r="C34" s="24">
        <v>4.84</v>
      </c>
      <c r="D34" s="29">
        <f t="shared" si="1"/>
        <v>1.5839999999999988E-8</v>
      </c>
      <c r="E34" s="26">
        <v>2.0596769665373801E-7</v>
      </c>
      <c r="F34" s="30">
        <f t="shared" si="2"/>
        <v>12512753.909292243</v>
      </c>
      <c r="G34" s="32">
        <f t="shared" si="3"/>
        <v>0.19820202192318898</v>
      </c>
      <c r="H34" s="31"/>
      <c r="I34" s="31"/>
      <c r="J34" s="31"/>
      <c r="K34" s="29">
        <v>1.7941</v>
      </c>
      <c r="L34" s="24">
        <v>-1.49</v>
      </c>
      <c r="M34" s="29">
        <f t="shared" si="4"/>
        <v>2.0799999999999994E-8</v>
      </c>
      <c r="N34" s="26">
        <v>2.1242180120872E-7</v>
      </c>
      <c r="O34" s="30">
        <f t="shared" si="5"/>
        <v>7047677.6894259872</v>
      </c>
      <c r="P34" s="32">
        <f t="shared" si="6"/>
        <v>0.1465916959400605</v>
      </c>
      <c r="Q34" s="31"/>
      <c r="R34" s="31"/>
      <c r="S34" s="29">
        <v>1.8291999999999999</v>
      </c>
      <c r="T34" s="24">
        <v>-5.04</v>
      </c>
      <c r="U34" s="29">
        <f t="shared" si="8"/>
        <v>1.8019999999999992E-8</v>
      </c>
      <c r="V34" s="26">
        <v>6.4621121855667205E-7</v>
      </c>
      <c r="W34" s="30">
        <f t="shared" si="9"/>
        <v>8498888.3682927713</v>
      </c>
      <c r="X34" s="32">
        <f t="shared" si="7"/>
        <v>0.15314996839663567</v>
      </c>
      <c r="Y34" s="7"/>
      <c r="Z34" s="7"/>
      <c r="AA34" s="7"/>
      <c r="AB34" s="7"/>
      <c r="AC34" s="7"/>
    </row>
    <row r="35" spans="1:29" ht="16" customHeight="1">
      <c r="A35" s="33"/>
      <c r="B35" s="28">
        <v>2.2134</v>
      </c>
      <c r="C35" s="24">
        <v>2.44</v>
      </c>
      <c r="D35" s="29">
        <f t="shared" si="1"/>
        <v>1.9320000000000004E-8</v>
      </c>
      <c r="E35" s="26">
        <v>2.6637963204357099E-6</v>
      </c>
      <c r="F35" s="30">
        <f t="shared" si="2"/>
        <v>490645.00645550468</v>
      </c>
      <c r="G35" s="32">
        <f t="shared" si="3"/>
        <v>9.4792615247203515E-3</v>
      </c>
      <c r="H35" s="31"/>
      <c r="I35" s="31"/>
      <c r="J35" s="31"/>
      <c r="K35" s="29">
        <v>2.0021</v>
      </c>
      <c r="L35" s="24">
        <v>-2.27</v>
      </c>
      <c r="M35" s="29">
        <f t="shared" si="4"/>
        <v>1.9229999999999991E-8</v>
      </c>
      <c r="N35" s="26">
        <v>2.0654286126225799E-7</v>
      </c>
      <c r="O35" s="30">
        <f t="shared" si="5"/>
        <v>5355513.1656608786</v>
      </c>
      <c r="P35" s="32">
        <f t="shared" si="6"/>
        <v>0.10298651817565865</v>
      </c>
      <c r="Q35" s="31"/>
      <c r="R35" s="31"/>
      <c r="S35" s="29">
        <v>2.0093999999999999</v>
      </c>
      <c r="T35" s="24">
        <v>-8.31</v>
      </c>
      <c r="U35" s="29">
        <f t="shared" si="8"/>
        <v>2.0990000000000018E-8</v>
      </c>
      <c r="V35" s="26">
        <v>9.9460775023320292E-7</v>
      </c>
      <c r="W35" s="30">
        <f t="shared" si="9"/>
        <v>1552650.3884986956</v>
      </c>
      <c r="X35" s="32">
        <f t="shared" si="7"/>
        <v>3.2590131654587649E-2</v>
      </c>
      <c r="Y35" s="7"/>
      <c r="Z35" s="7"/>
      <c r="AA35" s="7"/>
      <c r="AB35" s="7"/>
      <c r="AC35" s="7"/>
    </row>
    <row r="36" spans="1:29" ht="16" customHeight="1">
      <c r="A36" s="33"/>
      <c r="B36" s="28">
        <v>2.4066000000000001</v>
      </c>
      <c r="C36" s="24">
        <v>0.69</v>
      </c>
      <c r="D36" s="29">
        <f t="shared" si="1"/>
        <v>2.4659999999999991E-8</v>
      </c>
      <c r="E36" s="26">
        <v>4.1019426719655201E-6</v>
      </c>
      <c r="F36" s="30">
        <f t="shared" si="2"/>
        <v>332517.382428905</v>
      </c>
      <c r="G36" s="32">
        <f t="shared" si="3"/>
        <v>8.199878650696794E-3</v>
      </c>
      <c r="H36" s="31"/>
      <c r="I36" s="31"/>
      <c r="J36" s="31"/>
      <c r="K36" s="29">
        <v>2.1943999999999999</v>
      </c>
      <c r="L36" s="24">
        <v>-2.5299999999999998</v>
      </c>
      <c r="M36" s="29">
        <f t="shared" si="4"/>
        <v>2.4219999999999995E-8</v>
      </c>
      <c r="N36" s="26">
        <v>4.37367586041583E-7</v>
      </c>
      <c r="O36" s="30">
        <f t="shared" si="5"/>
        <v>2286406.2905313801</v>
      </c>
      <c r="P36" s="32">
        <f t="shared" si="6"/>
        <v>5.5376760356670017E-2</v>
      </c>
      <c r="Q36" s="31"/>
      <c r="R36" s="31"/>
      <c r="S36" s="29">
        <v>2.2193000000000001</v>
      </c>
      <c r="T36" s="24">
        <v>-9.43</v>
      </c>
      <c r="U36" s="29">
        <f t="shared" si="8"/>
        <v>2.3959999999999981E-8</v>
      </c>
      <c r="V36" s="26">
        <v>3.6833453959025397E-7</v>
      </c>
      <c r="W36" s="30">
        <f t="shared" si="9"/>
        <v>2714923.235579343</v>
      </c>
      <c r="X36" s="32">
        <f t="shared" si="7"/>
        <v>6.5049560724481009E-2</v>
      </c>
      <c r="Y36" s="7"/>
      <c r="Z36" s="7"/>
      <c r="AA36" s="7"/>
      <c r="AB36" s="7"/>
      <c r="AC36" s="7"/>
    </row>
    <row r="37" spans="1:29" ht="16" customHeight="1">
      <c r="A37" s="33"/>
      <c r="B37" s="28">
        <v>2.6532</v>
      </c>
      <c r="C37" s="24">
        <v>0.8</v>
      </c>
      <c r="D37" s="29">
        <f t="shared" si="1"/>
        <v>2.035E-8</v>
      </c>
      <c r="E37" s="26">
        <v>1.43809655342895E-5</v>
      </c>
      <c r="F37" s="30">
        <f t="shared" si="2"/>
        <v>125412.09988223374</v>
      </c>
      <c r="G37" s="32">
        <f t="shared" si="3"/>
        <v>2.5521362326034569E-3</v>
      </c>
      <c r="H37" s="31"/>
      <c r="I37" s="31"/>
      <c r="J37" s="31"/>
      <c r="K37" s="29">
        <v>2.4365999999999999</v>
      </c>
      <c r="L37" s="24">
        <v>-1.62</v>
      </c>
      <c r="M37" s="29">
        <f t="shared" si="4"/>
        <v>1.8780000000000017E-8</v>
      </c>
      <c r="N37" s="26">
        <v>2.0688237018788001E-7</v>
      </c>
      <c r="O37" s="30">
        <f t="shared" si="5"/>
        <v>6880436.6109674955</v>
      </c>
      <c r="P37" s="32">
        <f t="shared" si="6"/>
        <v>0.12921459955396969</v>
      </c>
      <c r="Q37" s="31"/>
      <c r="R37" s="31"/>
      <c r="S37" s="29">
        <v>2.4588999999999999</v>
      </c>
      <c r="T37" s="24">
        <v>-7.63</v>
      </c>
      <c r="U37" s="29">
        <f t="shared" si="8"/>
        <v>2.2780000000000023E-8</v>
      </c>
      <c r="V37" s="26">
        <v>7.8400450570112301E-7</v>
      </c>
      <c r="W37" s="30">
        <f t="shared" si="9"/>
        <v>2564426.7908507087</v>
      </c>
      <c r="X37" s="32">
        <f t="shared" si="7"/>
        <v>5.8417642295579206E-2</v>
      </c>
      <c r="Y37" s="7"/>
      <c r="Z37" s="7"/>
      <c r="AA37" s="7"/>
      <c r="AB37" s="7"/>
      <c r="AC37" s="7"/>
    </row>
    <row r="38" spans="1:29" ht="16" customHeight="1">
      <c r="A38" s="33"/>
      <c r="B38" s="28">
        <v>2.8567</v>
      </c>
      <c r="C38" s="24">
        <v>1.52</v>
      </c>
      <c r="D38" s="29">
        <f t="shared" si="1"/>
        <v>2.0389999999999996E-8</v>
      </c>
      <c r="E38" s="26">
        <v>3.33207999853753E-5</v>
      </c>
      <c r="F38" s="30">
        <f t="shared" si="2"/>
        <v>69383.342373488253</v>
      </c>
      <c r="G38" s="32">
        <f t="shared" si="3"/>
        <v>1.4147263509954253E-3</v>
      </c>
      <c r="H38" s="31"/>
      <c r="I38" s="31"/>
      <c r="J38" s="31"/>
      <c r="K38" s="29">
        <v>2.6244000000000001</v>
      </c>
      <c r="L38" s="24">
        <v>0.32</v>
      </c>
      <c r="M38" s="29">
        <f t="shared" si="4"/>
        <v>1.9260000000000008E-8</v>
      </c>
      <c r="N38" s="26">
        <v>2.8735741528096702E-7</v>
      </c>
      <c r="O38" s="30">
        <f t="shared" si="5"/>
        <v>10515177.932072205</v>
      </c>
      <c r="P38" s="32">
        <f t="shared" si="6"/>
        <v>0.20252232697171077</v>
      </c>
      <c r="Q38" s="31"/>
      <c r="R38" s="31"/>
      <c r="S38" s="29">
        <v>2.6867000000000001</v>
      </c>
      <c r="T38" s="24">
        <v>-5.2</v>
      </c>
      <c r="U38" s="29">
        <f t="shared" si="8"/>
        <v>1.438999999999999E-8</v>
      </c>
      <c r="V38" s="26">
        <v>8.1633670821074104E-7</v>
      </c>
      <c r="W38" s="30">
        <f t="shared" si="9"/>
        <v>6322757.194645348</v>
      </c>
      <c r="X38" s="32">
        <f t="shared" si="7"/>
        <v>9.098447603094649E-2</v>
      </c>
      <c r="Y38" s="7"/>
      <c r="Z38" s="7"/>
      <c r="AA38" s="7"/>
      <c r="AB38" s="7"/>
      <c r="AC38" s="7"/>
    </row>
    <row r="39" spans="1:29" ht="16" customHeight="1">
      <c r="A39" s="33"/>
      <c r="B39" s="28">
        <v>3.0606</v>
      </c>
      <c r="C39" s="24">
        <v>2.16</v>
      </c>
      <c r="D39" s="29">
        <f t="shared" si="1"/>
        <v>2.1320000000000005E-8</v>
      </c>
      <c r="E39" s="26">
        <v>9.5895300530295802E-5</v>
      </c>
      <c r="F39" s="30">
        <f t="shared" si="2"/>
        <v>23371.840737896429</v>
      </c>
      <c r="G39" s="32">
        <f t="shared" si="3"/>
        <v>4.9828764453195204E-4</v>
      </c>
      <c r="H39" s="31"/>
      <c r="I39" s="31"/>
      <c r="J39" s="31"/>
      <c r="K39" s="29">
        <v>2.8170000000000002</v>
      </c>
      <c r="L39" s="24">
        <v>0.76</v>
      </c>
      <c r="M39" s="29">
        <f t="shared" si="4"/>
        <v>2.1179999999999975E-8</v>
      </c>
      <c r="N39" s="26">
        <v>3.6410601029576399E-6</v>
      </c>
      <c r="O39" s="30">
        <f t="shared" si="5"/>
        <v>984358.63065530546</v>
      </c>
      <c r="P39" s="32">
        <f t="shared" si="6"/>
        <v>2.0848715797279347E-2</v>
      </c>
      <c r="Q39" s="31"/>
      <c r="R39" s="31"/>
      <c r="S39" s="29">
        <v>2.8306</v>
      </c>
      <c r="T39" s="24">
        <v>-3.23</v>
      </c>
      <c r="U39" s="29">
        <f t="shared" si="8"/>
        <v>2.1570000000000001E-8</v>
      </c>
      <c r="V39" s="26">
        <v>5.8581481740645299E-6</v>
      </c>
      <c r="W39" s="30">
        <f t="shared" si="9"/>
        <v>1892213.684658678</v>
      </c>
      <c r="X39" s="32">
        <f t="shared" si="7"/>
        <v>4.0815049178087683E-2</v>
      </c>
      <c r="Y39" s="7"/>
      <c r="Z39" s="7"/>
      <c r="AA39" s="7"/>
      <c r="AB39" s="7"/>
      <c r="AC39" s="7"/>
    </row>
    <row r="40" spans="1:29" ht="16" customHeight="1">
      <c r="A40" s="33"/>
      <c r="B40" s="28">
        <v>3.2738</v>
      </c>
      <c r="C40" s="24">
        <v>2.08</v>
      </c>
      <c r="D40" s="29">
        <f t="shared" si="1"/>
        <v>1.8369999999999995E-8</v>
      </c>
      <c r="E40" s="26">
        <v>2.05393553877803E-4</v>
      </c>
      <c r="F40" s="30">
        <f t="shared" si="2"/>
        <v>7725.6325926679619</v>
      </c>
      <c r="G40" s="32">
        <f t="shared" si="3"/>
        <v>1.4191987072731041E-4</v>
      </c>
      <c r="H40" s="31"/>
      <c r="I40" s="31"/>
      <c r="J40" s="31"/>
      <c r="K40" s="29">
        <v>3.0287999999999999</v>
      </c>
      <c r="L40" s="24">
        <v>0.39</v>
      </c>
      <c r="M40" s="29">
        <f t="shared" si="4"/>
        <v>1.4950000000000018E-8</v>
      </c>
      <c r="N40" s="26">
        <v>1.9074540093487898E-5</v>
      </c>
      <c r="O40" s="30">
        <f t="shared" si="5"/>
        <v>162772.22640930931</v>
      </c>
      <c r="P40" s="32">
        <f t="shared" si="6"/>
        <v>2.433444784819177E-3</v>
      </c>
      <c r="Q40" s="31"/>
      <c r="R40" s="31"/>
      <c r="S40" s="29">
        <v>3.0463</v>
      </c>
      <c r="T40" s="24">
        <v>-1.81</v>
      </c>
      <c r="U40" s="29">
        <f t="shared" si="8"/>
        <v>2.0670000000000009E-8</v>
      </c>
      <c r="V40" s="26">
        <v>2.1334361943174599E-5</v>
      </c>
      <c r="W40" s="30">
        <f t="shared" si="9"/>
        <v>901421.40250105434</v>
      </c>
      <c r="X40" s="32">
        <f>U40*W40</f>
        <v>1.8632380389696803E-2</v>
      </c>
      <c r="Y40" s="7"/>
      <c r="Z40" s="7"/>
      <c r="AA40" s="7"/>
      <c r="AB40" s="7"/>
      <c r="AC40" s="7"/>
    </row>
    <row r="41" spans="1:29" ht="16" customHeight="1">
      <c r="A41" s="33"/>
      <c r="B41" s="28">
        <v>3.4575</v>
      </c>
      <c r="C41" s="24">
        <v>1.19</v>
      </c>
      <c r="D41" s="29">
        <f t="shared" si="1"/>
        <v>2.0319999999999983E-8</v>
      </c>
      <c r="E41" s="26">
        <v>2.0694835091762101E-4</v>
      </c>
      <c r="F41" s="30">
        <f t="shared" si="2"/>
        <v>5821.3055291795254</v>
      </c>
      <c r="G41" s="32">
        <f t="shared" si="3"/>
        <v>1.1828892835292786E-4</v>
      </c>
      <c r="H41" s="31"/>
      <c r="I41" s="31"/>
      <c r="J41" s="31"/>
      <c r="K41" s="29">
        <v>3.1783000000000001</v>
      </c>
      <c r="L41" s="24">
        <v>0.16</v>
      </c>
      <c r="M41" s="29">
        <f t="shared" si="4"/>
        <v>1.3759999999999994E-8</v>
      </c>
      <c r="N41" s="26">
        <v>3.3756361830860697E-5</v>
      </c>
      <c r="O41" s="30">
        <f t="shared" si="5"/>
        <v>84124.522724328737</v>
      </c>
      <c r="P41" s="32">
        <f t="shared" si="6"/>
        <v>1.1575534326867629E-3</v>
      </c>
      <c r="Q41" s="31"/>
      <c r="R41" s="31"/>
      <c r="S41" s="29">
        <v>3.2530000000000001</v>
      </c>
      <c r="T41" s="24">
        <v>-1.24</v>
      </c>
      <c r="U41" s="29">
        <f t="shared" si="8"/>
        <v>2.2259999999999989E-8</v>
      </c>
      <c r="V41" s="26">
        <v>5.8670582085507398E-5</v>
      </c>
      <c r="W41" s="30">
        <f t="shared" si="9"/>
        <v>408916.78161326505</v>
      </c>
      <c r="X41" s="32">
        <f t="shared" ref="X41:X45" si="10">U41*W41</f>
        <v>9.1024875587112763E-3</v>
      </c>
      <c r="Y41" s="7"/>
      <c r="Z41" s="7"/>
      <c r="AA41" s="7"/>
      <c r="AB41" s="7"/>
      <c r="AC41" s="7"/>
    </row>
    <row r="42" spans="1:29" ht="16" customHeight="1">
      <c r="A42" s="33"/>
      <c r="B42" s="28">
        <v>3.6606999999999998</v>
      </c>
      <c r="C42" s="24">
        <v>0.48</v>
      </c>
      <c r="D42" s="29">
        <f t="shared" si="1"/>
        <v>2.3050000000000014E-8</v>
      </c>
      <c r="E42" s="26">
        <v>2.0832431189770999E-4</v>
      </c>
      <c r="F42" s="30">
        <f t="shared" si="2"/>
        <v>4913.266705414153</v>
      </c>
      <c r="G42" s="32">
        <f t="shared" si="3"/>
        <v>1.132507975597963E-4</v>
      </c>
      <c r="H42" s="31"/>
      <c r="I42" s="31"/>
      <c r="J42" s="31"/>
      <c r="K42" s="29">
        <v>3.3159000000000001</v>
      </c>
      <c r="L42" s="24">
        <v>-0.03</v>
      </c>
      <c r="M42" s="29">
        <f t="shared" si="4"/>
        <v>1.6120000000000001E-8</v>
      </c>
      <c r="N42" s="26">
        <v>5.8324469446994501E-5</v>
      </c>
      <c r="O42" s="30">
        <f t="shared" si="5"/>
        <v>45228.430174497174</v>
      </c>
      <c r="P42" s="32">
        <f t="shared" si="6"/>
        <v>7.2908229441289449E-4</v>
      </c>
      <c r="Q42" s="31"/>
      <c r="R42" s="31"/>
      <c r="S42" s="29">
        <v>3.4756</v>
      </c>
      <c r="T42" s="24">
        <v>-0.94</v>
      </c>
      <c r="U42" s="29">
        <f t="shared" si="8"/>
        <v>1.8840000000000012E-8</v>
      </c>
      <c r="V42" s="26">
        <v>8.8248503130267306E-5</v>
      </c>
      <c r="W42" s="30">
        <f t="shared" si="9"/>
        <v>305421.39799008949</v>
      </c>
      <c r="X42" s="32">
        <f t="shared" si="10"/>
        <v>5.7541391381332897E-3</v>
      </c>
      <c r="Y42" s="7"/>
      <c r="Z42" s="7"/>
      <c r="AA42" s="7"/>
      <c r="AB42" s="7"/>
      <c r="AC42" s="7"/>
    </row>
    <row r="43" spans="1:29" ht="16" customHeight="1">
      <c r="A43" s="33"/>
      <c r="B43" s="28">
        <v>3.8912</v>
      </c>
      <c r="C43" s="24">
        <v>0.06</v>
      </c>
      <c r="D43" s="29">
        <f t="shared" si="1"/>
        <v>2.0630000000000013E-8</v>
      </c>
      <c r="E43" s="26">
        <v>2.0820946542683E-4</v>
      </c>
      <c r="F43" s="30">
        <f t="shared" si="2"/>
        <v>4821.5267448952873</v>
      </c>
      <c r="G43" s="32">
        <f t="shared" si="3"/>
        <v>9.946809674718984E-5</v>
      </c>
      <c r="H43" s="31"/>
      <c r="I43" s="31"/>
      <c r="J43" s="31"/>
      <c r="K43" s="29">
        <v>3.4771000000000001</v>
      </c>
      <c r="L43" s="24">
        <v>-0.04</v>
      </c>
      <c r="M43" s="29">
        <f t="shared" si="4"/>
        <v>1.9260000000000008E-8</v>
      </c>
      <c r="N43" s="26">
        <v>7.7803884172327097E-5</v>
      </c>
      <c r="O43" s="30">
        <f t="shared" si="5"/>
        <v>33773.493279985742</v>
      </c>
      <c r="P43" s="32">
        <f t="shared" si="6"/>
        <v>6.5047748057252568E-4</v>
      </c>
      <c r="Q43" s="31"/>
      <c r="R43" s="31"/>
      <c r="S43" s="29">
        <v>3.6640000000000001</v>
      </c>
      <c r="T43" s="24">
        <v>-0.39</v>
      </c>
      <c r="U43" s="29">
        <f t="shared" si="8"/>
        <v>2.172999999999998E-8</v>
      </c>
      <c r="V43" s="26">
        <v>9.1056088625365798E-5</v>
      </c>
      <c r="W43" s="30">
        <f t="shared" si="9"/>
        <v>366416.92502146406</v>
      </c>
      <c r="X43" s="32">
        <f t="shared" si="10"/>
        <v>7.9622397807164076E-3</v>
      </c>
      <c r="Y43" s="7"/>
      <c r="Z43" s="7"/>
      <c r="AA43" s="7"/>
      <c r="AB43" s="7"/>
      <c r="AC43" s="7"/>
    </row>
    <row r="44" spans="1:29" ht="16" customHeight="1">
      <c r="A44" s="33"/>
      <c r="B44" s="28">
        <v>4.0975000000000001</v>
      </c>
      <c r="C44" s="24">
        <v>-0.01</v>
      </c>
      <c r="D44" s="29">
        <f>D43</f>
        <v>2.0630000000000013E-8</v>
      </c>
      <c r="E44" s="26">
        <v>2.0842588288351099E-4</v>
      </c>
      <c r="F44" s="30">
        <f t="shared" si="2"/>
        <v>4797.8686052101266</v>
      </c>
      <c r="G44" s="35">
        <f t="shared" si="3"/>
        <v>9.898002932548497E-5</v>
      </c>
      <c r="H44" s="31"/>
      <c r="I44" s="31"/>
      <c r="J44" s="31"/>
      <c r="K44" s="29">
        <v>3.6697000000000002</v>
      </c>
      <c r="L44" s="24">
        <v>0</v>
      </c>
      <c r="M44" s="29">
        <f>M43</f>
        <v>1.9260000000000008E-8</v>
      </c>
      <c r="N44" s="26">
        <v>8.3576485381559802E-5</v>
      </c>
      <c r="O44" s="30">
        <f t="shared" si="5"/>
        <v>31932.531911280257</v>
      </c>
      <c r="P44" s="32">
        <f t="shared" si="6"/>
        <v>6.1502056461125801E-4</v>
      </c>
      <c r="Q44" s="31"/>
      <c r="R44" s="31"/>
      <c r="S44" s="29">
        <v>3.8813</v>
      </c>
      <c r="T44" s="24">
        <v>-0.09</v>
      </c>
      <c r="U44" s="29">
        <f t="shared" si="8"/>
        <v>1.754000000000002E-8</v>
      </c>
      <c r="V44" s="26">
        <v>9.1699182462769602E-5</v>
      </c>
      <c r="W44" s="30">
        <f t="shared" si="9"/>
        <v>408762.01402368472</v>
      </c>
      <c r="X44" s="32">
        <f t="shared" si="10"/>
        <v>7.169685725975438E-3</v>
      </c>
      <c r="Y44" s="7"/>
      <c r="Z44" s="7"/>
      <c r="AA44" s="7"/>
      <c r="AB44" s="7"/>
      <c r="AC44" s="7"/>
    </row>
    <row r="45" spans="1:29" ht="16" customHeight="1">
      <c r="A45" s="33"/>
      <c r="B45" s="33"/>
      <c r="C45" s="24"/>
      <c r="D45" s="41"/>
      <c r="E45" s="34" t="s">
        <v>15</v>
      </c>
      <c r="F45" s="39" t="s">
        <v>11</v>
      </c>
      <c r="G45" s="42">
        <f>SUM(G6:G44)</f>
        <v>138.76501741779057</v>
      </c>
      <c r="H45" s="41"/>
      <c r="I45" s="31"/>
      <c r="J45" s="31"/>
      <c r="K45" s="31"/>
      <c r="L45" s="31"/>
      <c r="M45" s="31"/>
      <c r="N45" s="34" t="s">
        <v>14</v>
      </c>
      <c r="O45" s="43"/>
      <c r="P45" s="43"/>
      <c r="Q45" s="31"/>
      <c r="R45" s="31"/>
      <c r="S45" s="29">
        <v>4.0567000000000002</v>
      </c>
      <c r="T45" s="24">
        <v>0</v>
      </c>
      <c r="U45" s="29">
        <f>(S45-S44)*J$2</f>
        <v>1.754000000000002E-8</v>
      </c>
      <c r="V45" s="26">
        <v>9.1841179899201903E-5</v>
      </c>
      <c r="W45" s="30">
        <f t="shared" si="9"/>
        <v>422633.56261612196</v>
      </c>
      <c r="X45" s="35">
        <f t="shared" si="10"/>
        <v>7.412992688286788E-3</v>
      </c>
      <c r="Y45" s="7"/>
      <c r="Z45" s="7"/>
      <c r="AA45" s="7"/>
      <c r="AB45" s="7"/>
      <c r="AC45" s="7"/>
    </row>
    <row r="46" spans="1:29" ht="16" customHeight="1">
      <c r="A46" s="33"/>
      <c r="B46" s="33"/>
      <c r="C46" s="40"/>
      <c r="D46" s="41"/>
      <c r="E46" s="44"/>
      <c r="F46" s="39" t="s">
        <v>11</v>
      </c>
      <c r="G46" s="42"/>
      <c r="H46" s="41"/>
      <c r="I46" s="31"/>
      <c r="J46" s="31"/>
      <c r="K46" s="31"/>
      <c r="L46" s="38"/>
      <c r="M46" s="41"/>
      <c r="N46" s="44"/>
      <c r="O46" s="39" t="s">
        <v>11</v>
      </c>
      <c r="P46" s="45">
        <f>SUM(P6:P44)</f>
        <v>30948.262163553267</v>
      </c>
      <c r="Q46" s="41"/>
      <c r="R46" s="2"/>
      <c r="S46" s="2"/>
      <c r="T46" s="3"/>
      <c r="U46" s="5"/>
      <c r="V46" s="21"/>
      <c r="W46" s="9" t="s">
        <v>11</v>
      </c>
      <c r="X46" s="10">
        <f>SUM(X6:X45)</f>
        <v>119104.7288835933</v>
      </c>
      <c r="Y46" s="7"/>
      <c r="Z46" s="7"/>
      <c r="AA46" s="7"/>
      <c r="AB46" s="7"/>
      <c r="AC46" s="7"/>
    </row>
    <row r="47" spans="1:29" ht="15.25" customHeight="1">
      <c r="A47" s="2"/>
      <c r="B47" s="2"/>
      <c r="C47" s="3"/>
      <c r="D47" s="5"/>
      <c r="E47" s="21"/>
      <c r="F47" s="9" t="s">
        <v>12</v>
      </c>
      <c r="G47" s="11">
        <f>1/G45</f>
        <v>7.2064272293442854E-3</v>
      </c>
      <c r="H47" s="5"/>
      <c r="I47" s="2"/>
      <c r="J47" s="2"/>
      <c r="K47" s="2"/>
      <c r="L47" s="3"/>
      <c r="M47" s="5"/>
      <c r="N47" s="21"/>
      <c r="O47" s="9" t="s">
        <v>11</v>
      </c>
      <c r="P47" s="10"/>
      <c r="Q47" s="5"/>
      <c r="R47" s="2"/>
      <c r="S47" s="2"/>
      <c r="T47" s="3"/>
      <c r="U47" s="5"/>
      <c r="V47" s="21"/>
      <c r="W47" s="9" t="s">
        <v>11</v>
      </c>
      <c r="X47" s="10"/>
      <c r="Y47" s="7"/>
      <c r="Z47" s="7"/>
      <c r="AA47" s="7"/>
      <c r="AB47" s="7"/>
      <c r="AC47" s="7"/>
    </row>
    <row r="48" spans="1:29" ht="15.25" customHeight="1">
      <c r="A48" s="2"/>
      <c r="B48" s="2"/>
      <c r="C48" s="3"/>
      <c r="D48" s="5"/>
      <c r="E48" s="21"/>
      <c r="F48" s="9" t="s">
        <v>12</v>
      </c>
      <c r="G48" s="11"/>
      <c r="H48" s="5"/>
      <c r="I48" s="2"/>
      <c r="J48" s="2"/>
      <c r="K48" s="2"/>
      <c r="L48" s="3"/>
      <c r="M48" s="5"/>
      <c r="N48" s="21"/>
      <c r="O48" s="9" t="s">
        <v>12</v>
      </c>
      <c r="P48" s="11">
        <f>1/P46</f>
        <v>3.2311992018009543E-5</v>
      </c>
      <c r="Q48" s="5"/>
      <c r="R48" s="2"/>
      <c r="S48" s="2"/>
      <c r="T48" s="3"/>
      <c r="U48" s="5"/>
      <c r="V48" s="21"/>
      <c r="W48" s="9" t="s">
        <v>12</v>
      </c>
      <c r="X48" s="11">
        <f>1/X46</f>
        <v>8.3959722621706095E-6</v>
      </c>
      <c r="Y48" s="7"/>
      <c r="Z48" s="7"/>
      <c r="AA48" s="7"/>
      <c r="AB48" s="7"/>
      <c r="AC48" s="7"/>
    </row>
    <row r="49" spans="1:29" ht="15.25" customHeight="1">
      <c r="A49" s="2"/>
      <c r="B49" s="2"/>
      <c r="C49" s="2"/>
      <c r="D49" s="2"/>
      <c r="E49" s="2"/>
      <c r="F49" s="7"/>
      <c r="G49" s="7"/>
      <c r="H49" s="2"/>
      <c r="I49" s="2"/>
      <c r="J49" s="2"/>
      <c r="K49" s="2"/>
      <c r="L49" s="3"/>
      <c r="M49" s="5"/>
      <c r="N49" s="4"/>
      <c r="O49" s="9" t="s">
        <v>12</v>
      </c>
      <c r="P49" s="11"/>
      <c r="Q49" s="5"/>
      <c r="R49" s="2"/>
      <c r="S49" s="2"/>
      <c r="T49" s="3"/>
      <c r="U49" s="5"/>
      <c r="V49" s="4"/>
      <c r="W49" s="22" t="s">
        <v>12</v>
      </c>
      <c r="X49" s="23"/>
      <c r="Y49" s="7"/>
      <c r="Z49" s="7"/>
      <c r="AA49" s="7"/>
      <c r="AB49" s="7"/>
      <c r="AC49" s="7"/>
    </row>
    <row r="50" spans="1:29" ht="15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7"/>
      <c r="P50" s="7"/>
      <c r="Q50" s="2"/>
      <c r="R50" s="2"/>
      <c r="S50" s="2"/>
      <c r="T50" s="3"/>
      <c r="U50" s="5"/>
      <c r="V50" s="7"/>
      <c r="W50" s="7"/>
      <c r="X50" s="7"/>
      <c r="Y50" s="7"/>
      <c r="Z50" s="7"/>
      <c r="AA50" s="7"/>
      <c r="AB50" s="7"/>
      <c r="AC50" s="7"/>
    </row>
    <row r="51" spans="1:29" ht="16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6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6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6" customHeight="1">
      <c r="A54" s="2"/>
      <c r="B54" s="2"/>
      <c r="C54" s="2"/>
      <c r="D54" s="2"/>
      <c r="E54" s="24" t="s">
        <v>16</v>
      </c>
      <c r="F54" s="2"/>
      <c r="G54" s="2"/>
      <c r="H54" s="2"/>
      <c r="I54" s="2"/>
      <c r="J54" s="2"/>
      <c r="K54" s="2"/>
      <c r="L54" s="2"/>
      <c r="M54" s="2"/>
      <c r="N54" s="24" t="s">
        <v>16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6" customHeight="1">
      <c r="A55" s="2"/>
      <c r="B55" s="2"/>
      <c r="C55" s="2"/>
      <c r="D55" s="2"/>
      <c r="E55" s="24" t="s">
        <v>96</v>
      </c>
      <c r="F55" s="2"/>
      <c r="G55" s="2"/>
      <c r="H55" s="2"/>
      <c r="I55" s="2"/>
      <c r="J55" s="2"/>
      <c r="K55" s="2"/>
      <c r="L55" s="2"/>
      <c r="M55" s="2"/>
      <c r="N55" s="24" t="s">
        <v>57</v>
      </c>
      <c r="O55" s="2"/>
      <c r="P55" s="2"/>
      <c r="Q55" s="2"/>
      <c r="R55" s="2"/>
      <c r="S55" s="2"/>
      <c r="T55" s="2"/>
      <c r="U55" s="2"/>
      <c r="V55" s="24" t="s">
        <v>16</v>
      </c>
      <c r="W55" s="2"/>
      <c r="X55" s="2"/>
      <c r="Y55" s="2"/>
      <c r="Z55" s="2"/>
      <c r="AA55" s="2"/>
      <c r="AB55" s="2"/>
      <c r="AC55" s="2"/>
    </row>
    <row r="56" spans="1:29" ht="16" customHeight="1">
      <c r="A56" s="2"/>
      <c r="B56" s="2"/>
      <c r="C56" s="2"/>
      <c r="D56" s="2"/>
      <c r="E56" s="24" t="s">
        <v>97</v>
      </c>
      <c r="F56" s="2"/>
      <c r="G56" s="2"/>
      <c r="H56" s="2"/>
      <c r="I56" s="2"/>
      <c r="J56" s="2"/>
      <c r="K56" s="2"/>
      <c r="L56" s="2"/>
      <c r="M56" s="2"/>
      <c r="N56" s="24" t="s">
        <v>58</v>
      </c>
      <c r="O56" s="2"/>
      <c r="P56" s="2"/>
      <c r="Q56" s="2"/>
      <c r="R56" s="2"/>
      <c r="S56" s="2"/>
      <c r="T56" s="2"/>
      <c r="U56" s="2"/>
      <c r="V56" s="24" t="s">
        <v>17</v>
      </c>
      <c r="W56" s="2"/>
      <c r="X56" s="2"/>
      <c r="Y56" s="2"/>
      <c r="Z56" s="2"/>
      <c r="AA56" s="2"/>
      <c r="AB56" s="2"/>
      <c r="AC56" s="2"/>
    </row>
    <row r="57" spans="1:29" ht="16" customHeight="1">
      <c r="A57" s="2"/>
      <c r="B57" s="2"/>
      <c r="C57" s="2"/>
      <c r="D57" s="2"/>
      <c r="E57" s="24" t="s">
        <v>98</v>
      </c>
      <c r="F57" s="2"/>
      <c r="G57" s="2"/>
      <c r="H57" s="2"/>
      <c r="I57" s="2"/>
      <c r="J57" s="2"/>
      <c r="K57" s="2"/>
      <c r="L57" s="2"/>
      <c r="M57" s="2"/>
      <c r="N57" s="24" t="s">
        <v>59</v>
      </c>
      <c r="O57" s="2"/>
      <c r="P57" s="2"/>
      <c r="Q57" s="2"/>
      <c r="R57" s="2"/>
      <c r="S57" s="2"/>
      <c r="T57" s="2"/>
      <c r="U57" s="2"/>
      <c r="V57" s="24" t="s">
        <v>18</v>
      </c>
      <c r="W57" s="2"/>
      <c r="X57" s="2"/>
      <c r="Y57" s="2"/>
      <c r="Z57" s="2"/>
      <c r="AA57" s="2"/>
      <c r="AB57" s="2"/>
      <c r="AC57" s="2"/>
    </row>
    <row r="58" spans="1:29" ht="16" customHeight="1">
      <c r="A58" s="2"/>
      <c r="B58" s="2"/>
      <c r="C58" s="2"/>
      <c r="D58" s="2"/>
      <c r="E58" s="24" t="s">
        <v>99</v>
      </c>
      <c r="F58" s="2"/>
      <c r="G58" s="2"/>
      <c r="H58" s="2"/>
      <c r="I58" s="2"/>
      <c r="J58" s="2"/>
      <c r="K58" s="2"/>
      <c r="L58" s="2"/>
      <c r="M58" s="2"/>
      <c r="N58" s="24" t="s">
        <v>60</v>
      </c>
      <c r="O58" s="2"/>
      <c r="P58" s="2"/>
      <c r="Q58" s="2"/>
      <c r="R58" s="2"/>
      <c r="S58" s="2"/>
      <c r="T58" s="2"/>
      <c r="U58" s="2"/>
      <c r="V58" s="24" t="s">
        <v>19</v>
      </c>
      <c r="W58" s="2"/>
      <c r="X58" s="2"/>
      <c r="Y58" s="2"/>
      <c r="Z58" s="2"/>
      <c r="AA58" s="2"/>
      <c r="AB58" s="2"/>
      <c r="AC58" s="2"/>
    </row>
    <row r="59" spans="1:29" ht="16" customHeight="1">
      <c r="A59" s="2"/>
      <c r="B59" s="2"/>
      <c r="C59" s="2"/>
      <c r="D59" s="2"/>
      <c r="E59" s="24" t="s">
        <v>100</v>
      </c>
      <c r="F59" s="2"/>
      <c r="G59" s="2"/>
      <c r="H59" s="2"/>
      <c r="I59" s="2"/>
      <c r="J59" s="2"/>
      <c r="K59" s="2"/>
      <c r="L59" s="2"/>
      <c r="M59" s="2"/>
      <c r="N59" s="24" t="s">
        <v>61</v>
      </c>
      <c r="O59" s="2"/>
      <c r="P59" s="2"/>
      <c r="Q59" s="2"/>
      <c r="R59" s="2"/>
      <c r="S59" s="2"/>
      <c r="T59" s="2"/>
      <c r="U59" s="2"/>
      <c r="V59" s="24" t="s">
        <v>20</v>
      </c>
      <c r="W59" s="2"/>
      <c r="X59" s="2"/>
      <c r="Y59" s="2"/>
      <c r="Z59" s="2"/>
      <c r="AA59" s="2"/>
      <c r="AB59" s="2"/>
      <c r="AC59" s="2"/>
    </row>
    <row r="60" spans="1:29" ht="16" customHeight="1">
      <c r="A60" s="2"/>
      <c r="B60" s="2"/>
      <c r="C60" s="2"/>
      <c r="D60" s="2"/>
      <c r="E60" s="24" t="s">
        <v>101</v>
      </c>
      <c r="F60" s="2"/>
      <c r="G60" s="2"/>
      <c r="H60" s="2"/>
      <c r="I60" s="2"/>
      <c r="J60" s="2"/>
      <c r="K60" s="2"/>
      <c r="L60" s="2"/>
      <c r="M60" s="2"/>
      <c r="N60" s="24" t="s">
        <v>62</v>
      </c>
      <c r="O60" s="2"/>
      <c r="P60" s="2"/>
      <c r="Q60" s="2"/>
      <c r="R60" s="2"/>
      <c r="S60" s="2"/>
      <c r="T60" s="2"/>
      <c r="U60" s="2"/>
      <c r="V60" s="24" t="s">
        <v>21</v>
      </c>
      <c r="W60" s="2"/>
      <c r="X60" s="2"/>
      <c r="Y60" s="2"/>
      <c r="Z60" s="2"/>
      <c r="AA60" s="2"/>
      <c r="AB60" s="2"/>
      <c r="AC60" s="2"/>
    </row>
    <row r="61" spans="1:29" ht="16" customHeight="1">
      <c r="A61" s="2"/>
      <c r="B61" s="2"/>
      <c r="C61" s="2"/>
      <c r="D61" s="2"/>
      <c r="E61" s="24" t="s">
        <v>102</v>
      </c>
      <c r="F61" s="2"/>
      <c r="G61" s="2"/>
      <c r="H61" s="2"/>
      <c r="I61" s="2"/>
      <c r="J61" s="2"/>
      <c r="K61" s="2"/>
      <c r="L61" s="2"/>
      <c r="M61" s="2"/>
      <c r="N61" s="24" t="s">
        <v>63</v>
      </c>
      <c r="O61" s="2"/>
      <c r="P61" s="2"/>
      <c r="Q61" s="2"/>
      <c r="R61" s="2"/>
      <c r="S61" s="2"/>
      <c r="T61" s="2"/>
      <c r="U61" s="2"/>
      <c r="V61" s="24" t="s">
        <v>22</v>
      </c>
      <c r="W61" s="2"/>
      <c r="X61" s="2"/>
      <c r="Y61" s="2"/>
      <c r="Z61" s="2"/>
      <c r="AA61" s="2"/>
      <c r="AB61" s="2"/>
      <c r="AC61" s="2"/>
    </row>
    <row r="62" spans="1:29" ht="16" customHeight="1">
      <c r="A62" s="2"/>
      <c r="B62" s="2"/>
      <c r="C62" s="2"/>
      <c r="D62" s="2"/>
      <c r="E62" s="24" t="s">
        <v>103</v>
      </c>
      <c r="F62" s="2"/>
      <c r="G62" s="2"/>
      <c r="H62" s="2"/>
      <c r="I62" s="2"/>
      <c r="J62" s="2"/>
      <c r="K62" s="2"/>
      <c r="L62" s="2"/>
      <c r="M62" s="2"/>
      <c r="N62" s="24" t="s">
        <v>64</v>
      </c>
      <c r="O62" s="2"/>
      <c r="P62" s="2"/>
      <c r="Q62" s="2"/>
      <c r="R62" s="2"/>
      <c r="S62" s="2"/>
      <c r="T62" s="2"/>
      <c r="U62" s="2"/>
      <c r="V62" s="24" t="s">
        <v>23</v>
      </c>
      <c r="W62" s="2"/>
      <c r="X62" s="2"/>
      <c r="Y62" s="2"/>
      <c r="Z62" s="2"/>
      <c r="AA62" s="2"/>
      <c r="AB62" s="2"/>
      <c r="AC62" s="2"/>
    </row>
    <row r="63" spans="1:29" ht="16" customHeight="1">
      <c r="A63" s="2"/>
      <c r="B63" s="2"/>
      <c r="C63" s="2"/>
      <c r="D63" s="2"/>
      <c r="E63" s="24" t="s">
        <v>104</v>
      </c>
      <c r="F63" s="2"/>
      <c r="G63" s="2"/>
      <c r="H63" s="2"/>
      <c r="I63" s="2"/>
      <c r="J63" s="2"/>
      <c r="K63" s="2"/>
      <c r="L63" s="2"/>
      <c r="M63" s="2"/>
      <c r="N63" s="24" t="s">
        <v>65</v>
      </c>
      <c r="O63" s="2"/>
      <c r="P63" s="2"/>
      <c r="Q63" s="2"/>
      <c r="R63" s="2"/>
      <c r="S63" s="2"/>
      <c r="T63" s="2"/>
      <c r="U63" s="2"/>
      <c r="V63" s="24" t="s">
        <v>24</v>
      </c>
      <c r="W63" s="2"/>
      <c r="X63" s="2"/>
      <c r="Y63" s="2"/>
      <c r="Z63" s="2"/>
      <c r="AA63" s="2"/>
      <c r="AB63" s="2"/>
      <c r="AC63" s="2"/>
    </row>
    <row r="64" spans="1:29" ht="16" customHeight="1">
      <c r="A64" s="2"/>
      <c r="B64" s="2"/>
      <c r="C64" s="2"/>
      <c r="D64" s="2"/>
      <c r="E64" s="24" t="s">
        <v>105</v>
      </c>
      <c r="F64" s="2"/>
      <c r="G64" s="2"/>
      <c r="H64" s="2"/>
      <c r="I64" s="2"/>
      <c r="J64" s="2"/>
      <c r="K64" s="2"/>
      <c r="L64" s="2"/>
      <c r="M64" s="2"/>
      <c r="N64" s="24" t="s">
        <v>66</v>
      </c>
      <c r="O64" s="2"/>
      <c r="P64" s="2"/>
      <c r="Q64" s="2"/>
      <c r="R64" s="2"/>
      <c r="S64" s="2"/>
      <c r="T64" s="2"/>
      <c r="U64" s="2"/>
      <c r="V64" s="24" t="s">
        <v>25</v>
      </c>
      <c r="W64" s="2"/>
      <c r="X64" s="2"/>
      <c r="Y64" s="2"/>
      <c r="Z64" s="2"/>
      <c r="AA64" s="2"/>
      <c r="AB64" s="2"/>
      <c r="AC64" s="2"/>
    </row>
    <row r="65" spans="1:29" ht="16" customHeight="1">
      <c r="A65" s="2"/>
      <c r="B65" s="2"/>
      <c r="C65" s="2"/>
      <c r="D65" s="2"/>
      <c r="E65" s="24" t="s">
        <v>106</v>
      </c>
      <c r="F65" s="2"/>
      <c r="G65" s="2"/>
      <c r="H65" s="2"/>
      <c r="I65" s="2"/>
      <c r="J65" s="2"/>
      <c r="K65" s="2"/>
      <c r="L65" s="2"/>
      <c r="M65" s="2"/>
      <c r="N65" s="24" t="s">
        <v>67</v>
      </c>
      <c r="O65" s="2"/>
      <c r="P65" s="2"/>
      <c r="Q65" s="2"/>
      <c r="R65" s="2"/>
      <c r="S65" s="2"/>
      <c r="T65" s="2"/>
      <c r="U65" s="2"/>
      <c r="V65" s="24" t="s">
        <v>26</v>
      </c>
      <c r="W65" s="2"/>
      <c r="X65" s="2"/>
      <c r="Y65" s="2"/>
      <c r="Z65" s="2"/>
      <c r="AA65" s="2"/>
      <c r="AB65" s="2"/>
      <c r="AC65" s="2"/>
    </row>
    <row r="66" spans="1:29" ht="16" customHeight="1">
      <c r="A66" s="2"/>
      <c r="B66" s="2"/>
      <c r="C66" s="2"/>
      <c r="D66" s="2"/>
      <c r="E66" s="24" t="s">
        <v>107</v>
      </c>
      <c r="F66" s="2"/>
      <c r="G66" s="2"/>
      <c r="H66" s="2"/>
      <c r="I66" s="2"/>
      <c r="J66" s="2"/>
      <c r="K66" s="2"/>
      <c r="L66" s="2"/>
      <c r="M66" s="2"/>
      <c r="N66" s="24" t="s">
        <v>68</v>
      </c>
      <c r="O66" s="2"/>
      <c r="P66" s="2"/>
      <c r="Q66" s="2"/>
      <c r="R66" s="2"/>
      <c r="S66" s="2"/>
      <c r="T66" s="2"/>
      <c r="U66" s="2"/>
      <c r="V66" s="24" t="s">
        <v>27</v>
      </c>
      <c r="W66" s="2"/>
      <c r="X66" s="2"/>
      <c r="Y66" s="2"/>
      <c r="Z66" s="2"/>
      <c r="AA66" s="2"/>
      <c r="AB66" s="2"/>
      <c r="AC66" s="2"/>
    </row>
    <row r="67" spans="1:29" ht="16" customHeight="1">
      <c r="A67" s="2"/>
      <c r="B67" s="2"/>
      <c r="C67" s="2"/>
      <c r="D67" s="2"/>
      <c r="E67" s="24" t="s">
        <v>108</v>
      </c>
      <c r="F67" s="2"/>
      <c r="G67" s="2"/>
      <c r="H67" s="2"/>
      <c r="I67" s="2"/>
      <c r="J67" s="2"/>
      <c r="K67" s="2"/>
      <c r="L67" s="2"/>
      <c r="M67" s="2"/>
      <c r="N67" s="24" t="s">
        <v>69</v>
      </c>
      <c r="O67" s="2"/>
      <c r="P67" s="2"/>
      <c r="Q67" s="2"/>
      <c r="R67" s="2"/>
      <c r="S67" s="2"/>
      <c r="T67" s="2"/>
      <c r="U67" s="2"/>
      <c r="V67" s="24" t="s">
        <v>28</v>
      </c>
      <c r="W67" s="2"/>
      <c r="X67" s="2"/>
      <c r="Y67" s="2"/>
      <c r="Z67" s="2"/>
      <c r="AA67" s="2"/>
      <c r="AB67" s="2"/>
      <c r="AC67" s="2"/>
    </row>
    <row r="68" spans="1:29" ht="16" customHeight="1">
      <c r="A68" s="2"/>
      <c r="B68" s="2"/>
      <c r="C68" s="2"/>
      <c r="D68" s="2"/>
      <c r="E68" s="24" t="s">
        <v>109</v>
      </c>
      <c r="F68" s="2"/>
      <c r="G68" s="2"/>
      <c r="H68" s="2"/>
      <c r="I68" s="2"/>
      <c r="J68" s="2"/>
      <c r="K68" s="2"/>
      <c r="L68" s="2"/>
      <c r="M68" s="2"/>
      <c r="N68" s="24" t="s">
        <v>70</v>
      </c>
      <c r="O68" s="2"/>
      <c r="P68" s="2"/>
      <c r="Q68" s="2"/>
      <c r="R68" s="2"/>
      <c r="S68" s="2"/>
      <c r="T68" s="2"/>
      <c r="U68" s="2"/>
      <c r="V68" s="24" t="s">
        <v>29</v>
      </c>
      <c r="W68" s="2"/>
      <c r="X68" s="2"/>
      <c r="Y68" s="2"/>
      <c r="Z68" s="2"/>
      <c r="AA68" s="2"/>
      <c r="AB68" s="2"/>
      <c r="AC68" s="2"/>
    </row>
    <row r="69" spans="1:29" ht="16" customHeight="1">
      <c r="A69" s="2"/>
      <c r="B69" s="2"/>
      <c r="C69" s="2"/>
      <c r="D69" s="2"/>
      <c r="E69" s="24" t="s">
        <v>110</v>
      </c>
      <c r="F69" s="2"/>
      <c r="G69" s="2"/>
      <c r="H69" s="2"/>
      <c r="I69" s="2"/>
      <c r="J69" s="2"/>
      <c r="K69" s="2"/>
      <c r="L69" s="2"/>
      <c r="M69" s="2"/>
      <c r="N69" s="24" t="s">
        <v>71</v>
      </c>
      <c r="O69" s="2"/>
      <c r="P69" s="2"/>
      <c r="Q69" s="2"/>
      <c r="R69" s="2"/>
      <c r="S69" s="2"/>
      <c r="T69" s="2"/>
      <c r="U69" s="2"/>
      <c r="V69" s="24" t="s">
        <v>30</v>
      </c>
      <c r="W69" s="2"/>
      <c r="X69" s="2"/>
      <c r="Y69" s="2"/>
      <c r="Z69" s="2"/>
      <c r="AA69" s="2"/>
      <c r="AB69" s="2"/>
      <c r="AC69" s="2"/>
    </row>
    <row r="70" spans="1:29" ht="16" customHeight="1">
      <c r="A70" s="2"/>
      <c r="B70" s="2"/>
      <c r="C70" s="2"/>
      <c r="D70" s="2"/>
      <c r="E70" s="24" t="s">
        <v>111</v>
      </c>
      <c r="F70" s="2"/>
      <c r="G70" s="2"/>
      <c r="H70" s="2"/>
      <c r="I70" s="2"/>
      <c r="J70" s="2"/>
      <c r="K70" s="2"/>
      <c r="L70" s="2"/>
      <c r="M70" s="2"/>
      <c r="N70" s="24" t="s">
        <v>72</v>
      </c>
      <c r="O70" s="2"/>
      <c r="P70" s="2"/>
      <c r="Q70" s="2"/>
      <c r="R70" s="2"/>
      <c r="S70" s="2"/>
      <c r="T70" s="2"/>
      <c r="U70" s="2"/>
      <c r="V70" s="24" t="s">
        <v>31</v>
      </c>
      <c r="W70" s="2"/>
      <c r="X70" s="2"/>
      <c r="Y70" s="2"/>
      <c r="Z70" s="2"/>
      <c r="AA70" s="2"/>
      <c r="AB70" s="2"/>
      <c r="AC70" s="2"/>
    </row>
    <row r="71" spans="1:29" ht="16" customHeight="1">
      <c r="A71" s="2"/>
      <c r="B71" s="2"/>
      <c r="C71" s="2"/>
      <c r="D71" s="2"/>
      <c r="E71" s="24" t="s">
        <v>112</v>
      </c>
      <c r="F71" s="2"/>
      <c r="G71" s="2"/>
      <c r="H71" s="2"/>
      <c r="I71" s="2"/>
      <c r="J71" s="2"/>
      <c r="K71" s="2"/>
      <c r="L71" s="2"/>
      <c r="M71" s="2"/>
      <c r="N71" s="24" t="s">
        <v>73</v>
      </c>
      <c r="O71" s="2"/>
      <c r="P71" s="2"/>
      <c r="Q71" s="2"/>
      <c r="R71" s="2"/>
      <c r="S71" s="2"/>
      <c r="T71" s="2"/>
      <c r="U71" s="2"/>
      <c r="V71" s="24" t="s">
        <v>32</v>
      </c>
      <c r="W71" s="2"/>
      <c r="X71" s="2"/>
      <c r="Y71" s="2"/>
      <c r="Z71" s="2"/>
      <c r="AA71" s="2"/>
      <c r="AB71" s="2"/>
      <c r="AC71" s="2"/>
    </row>
    <row r="72" spans="1:29" ht="16" customHeight="1">
      <c r="A72" s="2"/>
      <c r="B72" s="2"/>
      <c r="C72" s="2"/>
      <c r="D72" s="2"/>
      <c r="E72" s="24" t="s">
        <v>113</v>
      </c>
      <c r="F72" s="2"/>
      <c r="G72" s="2"/>
      <c r="H72" s="2"/>
      <c r="I72" s="2"/>
      <c r="J72" s="2"/>
      <c r="K72" s="2"/>
      <c r="L72" s="2"/>
      <c r="M72" s="2"/>
      <c r="N72" s="24" t="s">
        <v>74</v>
      </c>
      <c r="O72" s="2"/>
      <c r="P72" s="2"/>
      <c r="Q72" s="2"/>
      <c r="R72" s="2"/>
      <c r="S72" s="2"/>
      <c r="T72" s="2"/>
      <c r="U72" s="2"/>
      <c r="V72" s="24" t="s">
        <v>33</v>
      </c>
      <c r="W72" s="2"/>
      <c r="X72" s="2"/>
      <c r="Y72" s="2"/>
      <c r="Z72" s="2"/>
      <c r="AA72" s="2"/>
      <c r="AB72" s="2"/>
      <c r="AC72" s="2"/>
    </row>
    <row r="73" spans="1:29" ht="16" customHeight="1">
      <c r="A73" s="2"/>
      <c r="B73" s="2"/>
      <c r="C73" s="2"/>
      <c r="D73" s="2"/>
      <c r="E73" s="24" t="s">
        <v>114</v>
      </c>
      <c r="F73" s="2"/>
      <c r="G73" s="2"/>
      <c r="H73" s="2"/>
      <c r="I73" s="2"/>
      <c r="J73" s="2"/>
      <c r="K73" s="2"/>
      <c r="L73" s="2"/>
      <c r="M73" s="2"/>
      <c r="N73" s="24" t="s">
        <v>75</v>
      </c>
      <c r="O73" s="2"/>
      <c r="P73" s="2"/>
      <c r="Q73" s="2"/>
      <c r="R73" s="2"/>
      <c r="S73" s="2"/>
      <c r="T73" s="2"/>
      <c r="U73" s="2"/>
      <c r="V73" s="24" t="s">
        <v>34</v>
      </c>
      <c r="W73" s="2"/>
      <c r="X73" s="2"/>
      <c r="Y73" s="2"/>
      <c r="Z73" s="2"/>
      <c r="AA73" s="2"/>
      <c r="AB73" s="2"/>
      <c r="AC73" s="2"/>
    </row>
    <row r="74" spans="1:29" ht="16" customHeight="1">
      <c r="A74" s="2"/>
      <c r="B74" s="2"/>
      <c r="C74" s="2"/>
      <c r="D74" s="2"/>
      <c r="E74" s="24" t="s">
        <v>115</v>
      </c>
      <c r="F74" s="2"/>
      <c r="G74" s="2"/>
      <c r="H74" s="2"/>
      <c r="I74" s="2"/>
      <c r="J74" s="2"/>
      <c r="K74" s="2"/>
      <c r="L74" s="2"/>
      <c r="M74" s="2"/>
      <c r="N74" s="24" t="s">
        <v>76</v>
      </c>
      <c r="O74" s="2"/>
      <c r="P74" s="2"/>
      <c r="Q74" s="2"/>
      <c r="R74" s="2"/>
      <c r="S74" s="2"/>
      <c r="T74" s="2"/>
      <c r="U74" s="2"/>
      <c r="V74" s="24" t="s">
        <v>35</v>
      </c>
      <c r="W74" s="2"/>
      <c r="X74" s="2"/>
      <c r="Y74" s="2"/>
      <c r="Z74" s="2"/>
      <c r="AA74" s="2"/>
      <c r="AB74" s="2"/>
      <c r="AC74" s="2"/>
    </row>
    <row r="75" spans="1:29" ht="16" customHeight="1">
      <c r="A75" s="2"/>
      <c r="B75" s="2"/>
      <c r="C75" s="2"/>
      <c r="D75" s="2"/>
      <c r="E75" s="24" t="s">
        <v>116</v>
      </c>
      <c r="F75" s="2"/>
      <c r="G75" s="2"/>
      <c r="H75" s="2"/>
      <c r="I75" s="2"/>
      <c r="J75" s="2"/>
      <c r="K75" s="2"/>
      <c r="L75" s="2"/>
      <c r="M75" s="2"/>
      <c r="N75" s="24" t="s">
        <v>77</v>
      </c>
      <c r="O75" s="2"/>
      <c r="P75" s="2"/>
      <c r="Q75" s="2"/>
      <c r="R75" s="2"/>
      <c r="S75" s="2"/>
      <c r="T75" s="2"/>
      <c r="U75" s="2"/>
      <c r="V75" s="24" t="s">
        <v>36</v>
      </c>
      <c r="W75" s="2"/>
      <c r="X75" s="2"/>
      <c r="Y75" s="2"/>
      <c r="Z75" s="2"/>
      <c r="AA75" s="2"/>
      <c r="AB75" s="2"/>
      <c r="AC75" s="2"/>
    </row>
    <row r="76" spans="1:29" ht="16" customHeight="1">
      <c r="A76" s="2"/>
      <c r="B76" s="2"/>
      <c r="C76" s="2"/>
      <c r="D76" s="2"/>
      <c r="E76" s="24" t="s">
        <v>117</v>
      </c>
      <c r="F76" s="2"/>
      <c r="G76" s="2"/>
      <c r="H76" s="2"/>
      <c r="I76" s="2"/>
      <c r="J76" s="2"/>
      <c r="K76" s="2"/>
      <c r="L76" s="2"/>
      <c r="M76" s="2"/>
      <c r="N76" s="24" t="s">
        <v>78</v>
      </c>
      <c r="O76" s="2"/>
      <c r="P76" s="2"/>
      <c r="Q76" s="2"/>
      <c r="R76" s="2"/>
      <c r="S76" s="2"/>
      <c r="T76" s="2"/>
      <c r="U76" s="2"/>
      <c r="V76" s="24" t="s">
        <v>37</v>
      </c>
      <c r="W76" s="2"/>
      <c r="X76" s="2"/>
      <c r="Y76" s="2"/>
      <c r="Z76" s="2"/>
      <c r="AA76" s="2"/>
      <c r="AB76" s="2"/>
      <c r="AC76" s="2"/>
    </row>
    <row r="77" spans="1:29" ht="16" customHeight="1">
      <c r="A77" s="2"/>
      <c r="B77" s="2"/>
      <c r="C77" s="2"/>
      <c r="D77" s="2"/>
      <c r="E77" s="24" t="s">
        <v>118</v>
      </c>
      <c r="F77" s="2"/>
      <c r="G77" s="2"/>
      <c r="H77" s="2"/>
      <c r="I77" s="2"/>
      <c r="J77" s="2"/>
      <c r="K77" s="2"/>
      <c r="L77" s="2"/>
      <c r="M77" s="2"/>
      <c r="N77" s="24" t="s">
        <v>79</v>
      </c>
      <c r="O77" s="2"/>
      <c r="P77" s="2"/>
      <c r="Q77" s="2"/>
      <c r="R77" s="2"/>
      <c r="S77" s="2"/>
      <c r="T77" s="2"/>
      <c r="U77" s="2"/>
      <c r="V77" s="24" t="s">
        <v>38</v>
      </c>
      <c r="W77" s="2"/>
      <c r="X77" s="2"/>
      <c r="Y77" s="2"/>
      <c r="Z77" s="2"/>
      <c r="AA77" s="2"/>
      <c r="AB77" s="2"/>
      <c r="AC77" s="2"/>
    </row>
    <row r="78" spans="1:29" ht="16" customHeight="1">
      <c r="A78" s="2"/>
      <c r="B78" s="2"/>
      <c r="C78" s="2"/>
      <c r="D78" s="2"/>
      <c r="E78" s="24" t="s">
        <v>119</v>
      </c>
      <c r="F78" s="2"/>
      <c r="G78" s="2"/>
      <c r="H78" s="2"/>
      <c r="I78" s="2"/>
      <c r="J78" s="2"/>
      <c r="K78" s="2"/>
      <c r="L78" s="2"/>
      <c r="M78" s="2"/>
      <c r="N78" s="24" t="s">
        <v>80</v>
      </c>
      <c r="O78" s="2"/>
      <c r="P78" s="2"/>
      <c r="Q78" s="2"/>
      <c r="R78" s="2"/>
      <c r="S78" s="2"/>
      <c r="T78" s="2"/>
      <c r="U78" s="2"/>
      <c r="V78" s="24" t="s">
        <v>39</v>
      </c>
      <c r="W78" s="2"/>
      <c r="X78" s="2"/>
      <c r="Y78" s="2"/>
      <c r="Z78" s="2"/>
      <c r="AA78" s="2"/>
      <c r="AB78" s="2"/>
      <c r="AC78" s="2"/>
    </row>
    <row r="79" spans="1:29" ht="16" customHeight="1">
      <c r="A79" s="2"/>
      <c r="B79" s="2"/>
      <c r="C79" s="2"/>
      <c r="D79" s="2"/>
      <c r="E79" s="24" t="s">
        <v>120</v>
      </c>
      <c r="F79" s="2"/>
      <c r="G79" s="2"/>
      <c r="H79" s="2"/>
      <c r="I79" s="2"/>
      <c r="J79" s="2"/>
      <c r="K79" s="2"/>
      <c r="L79" s="2"/>
      <c r="M79" s="2"/>
      <c r="N79" s="24" t="s">
        <v>81</v>
      </c>
      <c r="O79" s="2"/>
      <c r="P79" s="2"/>
      <c r="Q79" s="2"/>
      <c r="R79" s="2"/>
      <c r="S79" s="2"/>
      <c r="T79" s="2"/>
      <c r="U79" s="2"/>
      <c r="V79" s="24" t="s">
        <v>40</v>
      </c>
      <c r="W79" s="2"/>
      <c r="X79" s="2"/>
      <c r="Y79" s="2"/>
      <c r="Z79" s="2"/>
      <c r="AA79" s="2"/>
      <c r="AB79" s="2"/>
      <c r="AC79" s="2"/>
    </row>
    <row r="80" spans="1:29" ht="16" customHeight="1">
      <c r="A80" s="2"/>
      <c r="B80" s="2"/>
      <c r="C80" s="2"/>
      <c r="D80" s="2"/>
      <c r="E80" s="24" t="s">
        <v>121</v>
      </c>
      <c r="F80" s="2"/>
      <c r="G80" s="2"/>
      <c r="H80" s="2"/>
      <c r="I80" s="2"/>
      <c r="J80" s="2"/>
      <c r="K80" s="2"/>
      <c r="L80" s="2"/>
      <c r="M80" s="2"/>
      <c r="N80" s="24" t="s">
        <v>82</v>
      </c>
      <c r="O80" s="2"/>
      <c r="P80" s="2"/>
      <c r="Q80" s="2"/>
      <c r="R80" s="2"/>
      <c r="S80" s="2"/>
      <c r="T80" s="2"/>
      <c r="U80" s="2"/>
      <c r="V80" s="24" t="s">
        <v>41</v>
      </c>
      <c r="W80" s="2"/>
      <c r="X80" s="2"/>
      <c r="Y80" s="2"/>
      <c r="Z80" s="2"/>
      <c r="AA80" s="2"/>
      <c r="AB80" s="2"/>
      <c r="AC80" s="2"/>
    </row>
    <row r="81" spans="1:29" ht="16" customHeight="1">
      <c r="A81" s="2"/>
      <c r="B81" s="2"/>
      <c r="C81" s="2"/>
      <c r="D81" s="2"/>
      <c r="E81" s="24" t="s">
        <v>122</v>
      </c>
      <c r="F81" s="2"/>
      <c r="G81" s="2"/>
      <c r="H81" s="2"/>
      <c r="I81" s="2"/>
      <c r="J81" s="2"/>
      <c r="K81" s="2"/>
      <c r="L81" s="2"/>
      <c r="M81" s="2"/>
      <c r="N81" s="24" t="s">
        <v>83</v>
      </c>
      <c r="O81" s="2"/>
      <c r="P81" s="2"/>
      <c r="Q81" s="2"/>
      <c r="R81" s="2"/>
      <c r="S81" s="2"/>
      <c r="T81" s="2"/>
      <c r="U81" s="2"/>
      <c r="V81" s="24" t="s">
        <v>42</v>
      </c>
      <c r="W81" s="2"/>
      <c r="X81" s="2"/>
      <c r="Y81" s="2"/>
      <c r="Z81" s="2"/>
      <c r="AA81" s="2"/>
      <c r="AB81" s="2"/>
      <c r="AC81" s="2"/>
    </row>
    <row r="82" spans="1:29" ht="16" customHeight="1">
      <c r="A82" s="2"/>
      <c r="B82" s="2"/>
      <c r="C82" s="2"/>
      <c r="D82" s="2"/>
      <c r="E82" s="24" t="s">
        <v>123</v>
      </c>
      <c r="F82" s="2"/>
      <c r="G82" s="2"/>
      <c r="H82" s="2"/>
      <c r="I82" s="2"/>
      <c r="J82" s="2"/>
      <c r="K82" s="2"/>
      <c r="L82" s="2"/>
      <c r="M82" s="2"/>
      <c r="N82" s="24" t="s">
        <v>84</v>
      </c>
      <c r="O82" s="2"/>
      <c r="P82" s="2"/>
      <c r="Q82" s="2"/>
      <c r="R82" s="2"/>
      <c r="S82" s="2"/>
      <c r="T82" s="2"/>
      <c r="U82" s="2"/>
      <c r="V82" s="24" t="s">
        <v>43</v>
      </c>
      <c r="W82" s="2"/>
      <c r="X82" s="2"/>
      <c r="Y82" s="2"/>
      <c r="Z82" s="2"/>
      <c r="AA82" s="2"/>
      <c r="AB82" s="2"/>
      <c r="AC82" s="2"/>
    </row>
    <row r="83" spans="1:29" ht="16" customHeight="1">
      <c r="A83" s="2"/>
      <c r="B83" s="2"/>
      <c r="C83" s="2"/>
      <c r="D83" s="2"/>
      <c r="E83" s="24" t="s">
        <v>124</v>
      </c>
      <c r="F83" s="2"/>
      <c r="G83" s="2"/>
      <c r="H83" s="2"/>
      <c r="I83" s="2"/>
      <c r="J83" s="2"/>
      <c r="K83" s="2"/>
      <c r="L83" s="2"/>
      <c r="M83" s="2"/>
      <c r="N83" s="24" t="s">
        <v>85</v>
      </c>
      <c r="O83" s="2"/>
      <c r="P83" s="2"/>
      <c r="Q83" s="2"/>
      <c r="R83" s="2"/>
      <c r="S83" s="2"/>
      <c r="T83" s="2"/>
      <c r="U83" s="2"/>
      <c r="V83" s="24" t="s">
        <v>44</v>
      </c>
      <c r="W83" s="2"/>
      <c r="X83" s="2"/>
      <c r="Y83" s="2"/>
      <c r="Z83" s="2"/>
      <c r="AA83" s="2"/>
      <c r="AB83" s="2"/>
      <c r="AC83" s="2"/>
    </row>
    <row r="84" spans="1:29" ht="16" customHeight="1">
      <c r="A84" s="2"/>
      <c r="B84" s="2"/>
      <c r="C84" s="2"/>
      <c r="D84" s="2"/>
      <c r="E84" s="24" t="s">
        <v>125</v>
      </c>
      <c r="F84" s="2"/>
      <c r="G84" s="2"/>
      <c r="H84" s="2"/>
      <c r="I84" s="2"/>
      <c r="J84" s="2"/>
      <c r="K84" s="2"/>
      <c r="L84" s="2"/>
      <c r="M84" s="2"/>
      <c r="N84" s="24" t="s">
        <v>86</v>
      </c>
      <c r="O84" s="2"/>
      <c r="P84" s="2"/>
      <c r="Q84" s="2"/>
      <c r="R84" s="2"/>
      <c r="S84" s="2"/>
      <c r="T84" s="2"/>
      <c r="U84" s="2"/>
      <c r="V84" s="24" t="s">
        <v>45</v>
      </c>
      <c r="W84" s="2"/>
      <c r="X84" s="2"/>
      <c r="Y84" s="2"/>
      <c r="Z84" s="2"/>
      <c r="AA84" s="2"/>
      <c r="AB84" s="2"/>
      <c r="AC84" s="2"/>
    </row>
    <row r="85" spans="1:29" ht="16" customHeight="1">
      <c r="A85" s="2"/>
      <c r="B85" s="2"/>
      <c r="C85" s="2"/>
      <c r="D85" s="2"/>
      <c r="E85" s="24" t="s">
        <v>126</v>
      </c>
      <c r="F85" s="2"/>
      <c r="G85" s="2"/>
      <c r="H85" s="2"/>
      <c r="I85" s="2"/>
      <c r="J85" s="2"/>
      <c r="K85" s="2"/>
      <c r="L85" s="2"/>
      <c r="M85" s="2"/>
      <c r="N85" s="24" t="s">
        <v>87</v>
      </c>
      <c r="O85" s="2"/>
      <c r="P85" s="2"/>
      <c r="Q85" s="2"/>
      <c r="R85" s="2"/>
      <c r="S85" s="2"/>
      <c r="T85" s="2"/>
      <c r="U85" s="2"/>
      <c r="V85" s="24" t="s">
        <v>46</v>
      </c>
      <c r="W85" s="2"/>
      <c r="X85" s="2"/>
      <c r="Y85" s="2"/>
      <c r="Z85" s="2"/>
      <c r="AA85" s="2"/>
      <c r="AB85" s="2"/>
      <c r="AC85" s="2"/>
    </row>
    <row r="86" spans="1:29" ht="16" customHeight="1">
      <c r="A86" s="2"/>
      <c r="B86" s="2"/>
      <c r="C86" s="2"/>
      <c r="D86" s="2"/>
      <c r="E86" s="24" t="s">
        <v>127</v>
      </c>
      <c r="F86" s="2"/>
      <c r="G86" s="2"/>
      <c r="H86" s="2"/>
      <c r="I86" s="2"/>
      <c r="J86" s="2"/>
      <c r="K86" s="2"/>
      <c r="L86" s="2"/>
      <c r="M86" s="2"/>
      <c r="N86" s="24" t="s">
        <v>88</v>
      </c>
      <c r="O86" s="2"/>
      <c r="P86" s="2"/>
      <c r="Q86" s="2"/>
      <c r="R86" s="2"/>
      <c r="S86" s="2"/>
      <c r="T86" s="2"/>
      <c r="U86" s="2"/>
      <c r="V86" s="24" t="s">
        <v>47</v>
      </c>
      <c r="W86" s="2"/>
      <c r="X86" s="2"/>
      <c r="Y86" s="2"/>
      <c r="Z86" s="2"/>
      <c r="AA86" s="2"/>
      <c r="AB86" s="2"/>
      <c r="AC86" s="2"/>
    </row>
    <row r="87" spans="1:29" ht="16" customHeight="1">
      <c r="A87" s="2"/>
      <c r="B87" s="2"/>
      <c r="C87" s="2"/>
      <c r="D87" s="2"/>
      <c r="E87" s="24" t="s">
        <v>128</v>
      </c>
      <c r="F87" s="2"/>
      <c r="G87" s="2"/>
      <c r="H87" s="2"/>
      <c r="I87" s="2"/>
      <c r="J87" s="2"/>
      <c r="K87" s="2"/>
      <c r="L87" s="2"/>
      <c r="M87" s="2"/>
      <c r="N87" s="24" t="s">
        <v>89</v>
      </c>
      <c r="O87" s="2"/>
      <c r="P87" s="2"/>
      <c r="Q87" s="2"/>
      <c r="R87" s="2"/>
      <c r="S87" s="2"/>
      <c r="T87" s="2"/>
      <c r="U87" s="2"/>
      <c r="V87" s="24" t="s">
        <v>48</v>
      </c>
      <c r="W87" s="2"/>
      <c r="X87" s="2"/>
      <c r="Y87" s="2"/>
      <c r="Z87" s="2"/>
      <c r="AA87" s="2"/>
      <c r="AB87" s="2"/>
      <c r="AC87" s="2"/>
    </row>
    <row r="88" spans="1:29" ht="16" customHeight="1">
      <c r="A88" s="2"/>
      <c r="B88" s="2"/>
      <c r="C88" s="2"/>
      <c r="D88" s="2"/>
      <c r="E88" s="24" t="s">
        <v>129</v>
      </c>
      <c r="F88" s="2"/>
      <c r="G88" s="2"/>
      <c r="H88" s="2"/>
      <c r="I88" s="2"/>
      <c r="J88" s="2"/>
      <c r="K88" s="2"/>
      <c r="L88" s="2"/>
      <c r="M88" s="2"/>
      <c r="N88" s="24" t="s">
        <v>90</v>
      </c>
      <c r="O88" s="2"/>
      <c r="P88" s="2"/>
      <c r="Q88" s="2"/>
      <c r="R88" s="2"/>
      <c r="S88" s="2"/>
      <c r="T88" s="2"/>
      <c r="U88" s="2"/>
      <c r="V88" s="24" t="s">
        <v>49</v>
      </c>
      <c r="W88" s="2"/>
      <c r="X88" s="2"/>
      <c r="Y88" s="2"/>
      <c r="Z88" s="2"/>
      <c r="AA88" s="2"/>
      <c r="AB88" s="2"/>
      <c r="AC88" s="2"/>
    </row>
    <row r="89" spans="1:29" ht="16" customHeight="1">
      <c r="A89" s="2"/>
      <c r="B89" s="2"/>
      <c r="C89" s="2"/>
      <c r="D89" s="2"/>
      <c r="E89" s="24" t="s">
        <v>130</v>
      </c>
      <c r="F89" s="2"/>
      <c r="G89" s="2"/>
      <c r="H89" s="2"/>
      <c r="I89" s="2"/>
      <c r="J89" s="2"/>
      <c r="K89" s="2"/>
      <c r="L89" s="2"/>
      <c r="M89" s="2"/>
      <c r="N89" s="24" t="s">
        <v>91</v>
      </c>
      <c r="O89" s="2"/>
      <c r="P89" s="2"/>
      <c r="Q89" s="2"/>
      <c r="R89" s="2"/>
      <c r="S89" s="2"/>
      <c r="T89" s="2"/>
      <c r="U89" s="2"/>
      <c r="V89" s="24" t="s">
        <v>50</v>
      </c>
      <c r="W89" s="2"/>
      <c r="X89" s="2"/>
      <c r="Y89" s="2"/>
      <c r="Z89" s="2"/>
      <c r="AA89" s="2"/>
      <c r="AB89" s="2"/>
      <c r="AC89" s="2"/>
    </row>
    <row r="90" spans="1:29" ht="16" customHeight="1">
      <c r="A90" s="2"/>
      <c r="B90" s="2"/>
      <c r="C90" s="2"/>
      <c r="D90" s="2"/>
      <c r="E90" s="24" t="s">
        <v>131</v>
      </c>
      <c r="F90" s="2"/>
      <c r="G90" s="2"/>
      <c r="H90" s="2"/>
      <c r="I90" s="2"/>
      <c r="J90" s="2"/>
      <c r="K90" s="2"/>
      <c r="L90" s="2"/>
      <c r="M90" s="2"/>
      <c r="N90" s="24" t="s">
        <v>92</v>
      </c>
      <c r="O90" s="2"/>
      <c r="P90" s="2"/>
      <c r="Q90" s="2"/>
      <c r="R90" s="2"/>
      <c r="S90" s="2"/>
      <c r="T90" s="2"/>
      <c r="U90" s="2"/>
      <c r="V90" s="24" t="s">
        <v>51</v>
      </c>
      <c r="W90" s="2"/>
      <c r="X90" s="2"/>
      <c r="Y90" s="2"/>
      <c r="Z90" s="2"/>
      <c r="AA90" s="2"/>
      <c r="AB90" s="2"/>
      <c r="AC90" s="2"/>
    </row>
    <row r="91" spans="1:29" ht="16" customHeight="1">
      <c r="A91" s="2"/>
      <c r="B91" s="2"/>
      <c r="C91" s="2"/>
      <c r="D91" s="2"/>
      <c r="E91" s="24" t="s">
        <v>132</v>
      </c>
      <c r="F91" s="2"/>
      <c r="G91" s="2"/>
      <c r="H91" s="2"/>
      <c r="I91" s="2"/>
      <c r="J91" s="2"/>
      <c r="K91" s="2"/>
      <c r="L91" s="2"/>
      <c r="M91" s="2"/>
      <c r="N91" s="24" t="s">
        <v>93</v>
      </c>
      <c r="O91" s="2"/>
      <c r="P91" s="2"/>
      <c r="Q91" s="2"/>
      <c r="R91" s="2"/>
      <c r="S91" s="2"/>
      <c r="T91" s="2"/>
      <c r="U91" s="2"/>
      <c r="V91" s="24" t="s">
        <v>52</v>
      </c>
      <c r="W91" s="2"/>
      <c r="X91" s="2"/>
      <c r="Y91" s="2"/>
      <c r="Z91" s="2"/>
      <c r="AA91" s="2"/>
      <c r="AB91" s="2"/>
      <c r="AC91" s="2"/>
    </row>
    <row r="92" spans="1:29" ht="16" customHeight="1">
      <c r="A92" s="2"/>
      <c r="B92" s="2"/>
      <c r="C92" s="2"/>
      <c r="D92" s="2"/>
      <c r="E92" s="24" t="s">
        <v>133</v>
      </c>
      <c r="F92" s="2"/>
      <c r="G92" s="2"/>
      <c r="H92" s="2"/>
      <c r="I92" s="2"/>
      <c r="J92" s="2"/>
      <c r="K92" s="2"/>
      <c r="L92" s="2"/>
      <c r="M92" s="2"/>
      <c r="N92" s="24" t="s">
        <v>94</v>
      </c>
      <c r="O92" s="2"/>
      <c r="P92" s="2"/>
      <c r="Q92" s="2"/>
      <c r="R92" s="2"/>
      <c r="S92" s="2"/>
      <c r="T92" s="2"/>
      <c r="U92" s="2"/>
      <c r="V92" s="24" t="s">
        <v>53</v>
      </c>
      <c r="W92" s="2"/>
      <c r="X92" s="2"/>
      <c r="Y92" s="2"/>
      <c r="Z92" s="2"/>
      <c r="AA92" s="2"/>
      <c r="AB92" s="2"/>
      <c r="AC92" s="2"/>
    </row>
    <row r="93" spans="1:29" ht="16" customHeight="1">
      <c r="A93" s="2"/>
      <c r="B93" s="2"/>
      <c r="C93" s="2"/>
      <c r="D93" s="2"/>
      <c r="E93" s="24" t="s">
        <v>134</v>
      </c>
      <c r="F93" s="2"/>
      <c r="G93" s="2"/>
      <c r="H93" s="2"/>
      <c r="I93" s="2"/>
      <c r="J93" s="2"/>
      <c r="K93" s="2"/>
      <c r="L93" s="2"/>
      <c r="M93" s="2"/>
      <c r="N93" s="24" t="s">
        <v>95</v>
      </c>
      <c r="O93" s="2"/>
      <c r="P93" s="2"/>
      <c r="Q93" s="2"/>
      <c r="R93" s="2"/>
      <c r="S93" s="2"/>
      <c r="T93" s="2"/>
      <c r="U93" s="2"/>
      <c r="V93" s="24" t="s">
        <v>54</v>
      </c>
      <c r="W93" s="2"/>
      <c r="X93" s="2"/>
      <c r="Y93" s="2"/>
      <c r="Z93" s="2"/>
      <c r="AA93" s="2"/>
      <c r="AB93" s="2"/>
      <c r="AC93" s="2"/>
    </row>
    <row r="94" spans="1:29" ht="16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4" t="s">
        <v>55</v>
      </c>
      <c r="W94" s="2"/>
      <c r="X94" s="2"/>
      <c r="Y94" s="2"/>
      <c r="Z94" s="2"/>
      <c r="AA94" s="2"/>
      <c r="AB94" s="2"/>
      <c r="AC94" s="2"/>
    </row>
    <row r="95" spans="1:29" ht="16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4" t="s">
        <v>56</v>
      </c>
      <c r="W95" s="2"/>
      <c r="X95" s="2"/>
      <c r="Y95" s="2"/>
      <c r="Z95" s="2"/>
      <c r="AA95" s="2"/>
      <c r="AB95" s="2"/>
      <c r="AC95" s="2"/>
    </row>
    <row r="96" spans="1:29" ht="16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6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6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6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6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6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6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D1978-6DFB-5F43-9A8A-C6EB8A0D7194}">
  <dimension ref="B2:W147"/>
  <sheetViews>
    <sheetView tabSelected="1" zoomScale="75" workbookViewId="0">
      <selection activeCell="U13" sqref="U13"/>
    </sheetView>
  </sheetViews>
  <sheetFormatPr baseColWidth="10" defaultRowHeight="16"/>
  <sheetData>
    <row r="2" spans="2:23">
      <c r="B2" s="46" t="s">
        <v>8</v>
      </c>
    </row>
    <row r="3" spans="2:23" ht="34">
      <c r="B3" t="s">
        <v>135</v>
      </c>
      <c r="R3" s="58" t="s">
        <v>142</v>
      </c>
      <c r="S3" s="58" t="s">
        <v>143</v>
      </c>
      <c r="T3" s="58" t="s">
        <v>144</v>
      </c>
      <c r="U3" s="59"/>
      <c r="V3" s="58" t="s">
        <v>145</v>
      </c>
      <c r="W3" s="58" t="s">
        <v>145</v>
      </c>
    </row>
    <row r="4" spans="2:23">
      <c r="D4" s="53" t="s">
        <v>138</v>
      </c>
      <c r="E4" s="53" t="s">
        <v>139</v>
      </c>
      <c r="F4" s="53" t="s">
        <v>140</v>
      </c>
      <c r="G4" s="53" t="s">
        <v>141</v>
      </c>
      <c r="I4" s="46" t="s">
        <v>13</v>
      </c>
      <c r="J4" s="46" t="s">
        <v>136</v>
      </c>
      <c r="K4" s="46" t="s">
        <v>137</v>
      </c>
      <c r="R4" s="56">
        <v>1.1000000000000001E-3</v>
      </c>
      <c r="S4">
        <f>0.00721</f>
        <v>7.2100000000000003E-3</v>
      </c>
      <c r="T4" s="57">
        <v>1.2200000000000001E-2</v>
      </c>
      <c r="V4" s="60">
        <f>T4/R4</f>
        <v>11.090909090909092</v>
      </c>
      <c r="W4" s="60">
        <f>S4/R4</f>
        <v>6.5545454545454547</v>
      </c>
    </row>
    <row r="5" spans="2:23">
      <c r="C5" s="24"/>
      <c r="D5" s="24">
        <v>0</v>
      </c>
      <c r="E5" s="24">
        <v>0</v>
      </c>
      <c r="F5" s="24">
        <v>0</v>
      </c>
      <c r="G5" s="24">
        <v>0</v>
      </c>
      <c r="H5" s="47"/>
      <c r="I5" s="48">
        <v>-3.6450999999999998</v>
      </c>
      <c r="J5" s="49">
        <f>AVERAGE(D5:G5)</f>
        <v>0</v>
      </c>
      <c r="K5" s="49">
        <f>STDEV(F5:G5)</f>
        <v>0</v>
      </c>
      <c r="R5" s="56">
        <v>2.0999999999999999E-5</v>
      </c>
      <c r="S5">
        <f>0.0000323</f>
        <v>3.2299999999999999E-5</v>
      </c>
      <c r="T5" s="57">
        <v>2.2500000000000001E-5</v>
      </c>
      <c r="V5" s="60">
        <f>T5/R5</f>
        <v>1.0714285714285716</v>
      </c>
      <c r="W5" s="60">
        <f t="shared" ref="W5:W6" si="0">S5/R5</f>
        <v>1.5380952380952382</v>
      </c>
    </row>
    <row r="6" spans="2:23">
      <c r="C6" s="24"/>
      <c r="D6" s="24">
        <v>-3.7941999999999997E-2</v>
      </c>
      <c r="E6" s="24">
        <v>-9.0736999999999998E-2</v>
      </c>
      <c r="F6" s="24">
        <v>-9.1493000000000005E-2</v>
      </c>
      <c r="G6" s="24">
        <v>-0.12625</v>
      </c>
      <c r="H6" s="47"/>
      <c r="I6" s="48">
        <v>-3.4380000000000002</v>
      </c>
      <c r="J6" s="49">
        <f t="shared" ref="J6:J44" si="1">AVERAGE(D6:G6)</f>
        <v>-8.6605500000000002E-2</v>
      </c>
      <c r="K6" s="49">
        <f t="shared" ref="K6:K44" si="2">STDEV(F6:G6)</f>
        <v>2.4576910393700774E-2</v>
      </c>
      <c r="R6" s="56">
        <v>1.86E-6</v>
      </c>
      <c r="S6">
        <f>0.0000084</f>
        <v>8.3999999999999992E-6</v>
      </c>
      <c r="T6" s="57">
        <v>1.01E-5</v>
      </c>
      <c r="V6" s="60">
        <f t="shared" ref="V5:W6" si="3">T6/R6</f>
        <v>5.43010752688172</v>
      </c>
      <c r="W6" s="60">
        <f t="shared" si="0"/>
        <v>4.5161290322580641</v>
      </c>
    </row>
    <row r="7" spans="2:23">
      <c r="C7" s="24"/>
      <c r="D7" s="24">
        <v>-0.33948</v>
      </c>
      <c r="E7" s="24">
        <v>-0.41419</v>
      </c>
      <c r="F7" s="24">
        <v>-0.38236999999999999</v>
      </c>
      <c r="G7" s="24">
        <v>-0.42404999999999998</v>
      </c>
      <c r="H7" s="47"/>
      <c r="I7" s="48">
        <v>-3.2467000000000001</v>
      </c>
      <c r="J7" s="49">
        <f t="shared" si="1"/>
        <v>-0.39002249999999999</v>
      </c>
      <c r="K7" s="49">
        <f t="shared" si="2"/>
        <v>2.9472210639855296E-2</v>
      </c>
    </row>
    <row r="8" spans="2:23">
      <c r="C8" s="24"/>
      <c r="D8" s="24">
        <v>-1.0263</v>
      </c>
      <c r="E8" s="24">
        <v>-1.0032000000000001</v>
      </c>
      <c r="F8" s="24">
        <v>-0.86236000000000002</v>
      </c>
      <c r="G8" s="24">
        <v>-0.86943999999999999</v>
      </c>
      <c r="H8" s="47"/>
      <c r="I8" s="48">
        <v>-3.0255999999999998</v>
      </c>
      <c r="J8" s="49">
        <f t="shared" si="1"/>
        <v>-0.94032500000000008</v>
      </c>
      <c r="K8" s="49">
        <f t="shared" si="2"/>
        <v>5.006316010800739E-3</v>
      </c>
    </row>
    <row r="9" spans="2:23">
      <c r="C9" s="24"/>
      <c r="D9" s="24">
        <v>-1.6282000000000001</v>
      </c>
      <c r="E9" s="24">
        <v>-1.3535999999999999</v>
      </c>
      <c r="F9" s="24">
        <v>-1.0118</v>
      </c>
      <c r="G9" s="24">
        <v>-0.94786999999999999</v>
      </c>
      <c r="H9" s="47"/>
      <c r="I9" s="48">
        <v>-2.8485</v>
      </c>
      <c r="J9" s="49">
        <f t="shared" si="1"/>
        <v>-1.2353675</v>
      </c>
      <c r="K9" s="49">
        <f t="shared" si="2"/>
        <v>4.5205336521256016E-2</v>
      </c>
    </row>
    <row r="10" spans="2:23">
      <c r="C10" s="24"/>
      <c r="D10" s="24">
        <v>-2.6334</v>
      </c>
      <c r="E10" s="24">
        <v>-1.9145000000000001</v>
      </c>
      <c r="F10" s="24">
        <v>-1.4138999999999999</v>
      </c>
      <c r="G10" s="24">
        <v>-1.2941</v>
      </c>
      <c r="H10" s="47"/>
      <c r="I10" s="48">
        <v>-2.6375999999999999</v>
      </c>
      <c r="J10" s="49">
        <f t="shared" si="1"/>
        <v>-1.8139750000000001</v>
      </c>
      <c r="K10" s="49">
        <f t="shared" si="2"/>
        <v>8.4711392386148332E-2</v>
      </c>
    </row>
    <row r="11" spans="2:23">
      <c r="C11" s="24"/>
      <c r="D11" s="24">
        <v>-3.9335</v>
      </c>
      <c r="E11" s="24">
        <v>-3.0709</v>
      </c>
      <c r="F11" s="24">
        <v>-2.9807000000000001</v>
      </c>
      <c r="G11" s="24">
        <v>-2.9455</v>
      </c>
      <c r="H11" s="47"/>
      <c r="I11" s="48">
        <v>-2.4365000000000001</v>
      </c>
      <c r="J11" s="49">
        <f t="shared" si="1"/>
        <v>-3.2326500000000005</v>
      </c>
      <c r="K11" s="49">
        <f t="shared" si="2"/>
        <v>2.4890158697766559E-2</v>
      </c>
    </row>
    <row r="12" spans="2:23">
      <c r="C12" s="24"/>
      <c r="D12" s="24">
        <v>-5.7846000000000002</v>
      </c>
      <c r="E12" s="24">
        <v>-4.8956</v>
      </c>
      <c r="F12" s="24">
        <v>-5.0529999999999999</v>
      </c>
      <c r="G12" s="24">
        <v>-5.0602</v>
      </c>
      <c r="H12" s="47"/>
      <c r="I12" s="48">
        <v>-2.2627000000000002</v>
      </c>
      <c r="J12" s="49">
        <f t="shared" si="1"/>
        <v>-5.1983499999999996</v>
      </c>
      <c r="K12" s="49">
        <f t="shared" si="2"/>
        <v>5.0911688245432098E-3</v>
      </c>
    </row>
    <row r="13" spans="2:23">
      <c r="C13" s="24"/>
      <c r="D13" s="24">
        <v>-8.5550999999999995</v>
      </c>
      <c r="E13" s="24">
        <v>-6.7392000000000003</v>
      </c>
      <c r="F13" s="24">
        <v>-7.4565000000000001</v>
      </c>
      <c r="G13" s="24">
        <v>-7.7714999999999996</v>
      </c>
      <c r="H13" s="47"/>
      <c r="I13" s="48">
        <v>-2.1029</v>
      </c>
      <c r="J13" s="49">
        <f t="shared" si="1"/>
        <v>-7.6305749999999994</v>
      </c>
      <c r="K13" s="49">
        <f t="shared" si="2"/>
        <v>0.22273863607376213</v>
      </c>
    </row>
    <row r="14" spans="2:23">
      <c r="C14" s="24"/>
      <c r="D14" s="24">
        <v>-10.808</v>
      </c>
      <c r="E14" s="24">
        <v>-7.6470000000000002</v>
      </c>
      <c r="F14" s="24">
        <v>-9.4206000000000003</v>
      </c>
      <c r="G14" s="24">
        <v>-9.8614999999999995</v>
      </c>
      <c r="H14" s="47"/>
      <c r="I14" s="48">
        <v>-1.8809</v>
      </c>
      <c r="J14" s="49">
        <f t="shared" si="1"/>
        <v>-9.4342749999999995</v>
      </c>
      <c r="K14" s="49">
        <f t="shared" si="2"/>
        <v>0.31176337982514823</v>
      </c>
    </row>
    <row r="15" spans="2:23">
      <c r="C15" s="24"/>
      <c r="D15" s="24">
        <v>-9.7134</v>
      </c>
      <c r="E15" s="24">
        <v>-6.3776999999999999</v>
      </c>
      <c r="F15" s="24">
        <v>-8.4954000000000001</v>
      </c>
      <c r="G15" s="24">
        <v>-8.6410999999999998</v>
      </c>
      <c r="H15" s="47"/>
      <c r="I15" s="48">
        <v>-1.6931</v>
      </c>
      <c r="J15" s="49">
        <f t="shared" si="1"/>
        <v>-8.3069000000000006</v>
      </c>
      <c r="K15" s="49">
        <f t="shared" si="2"/>
        <v>0.10302545801887977</v>
      </c>
    </row>
    <row r="16" spans="2:23">
      <c r="C16" s="24"/>
      <c r="D16" s="24">
        <v>-6.3552</v>
      </c>
      <c r="E16" s="24">
        <v>-2.8809999999999998</v>
      </c>
      <c r="F16" s="24">
        <v>-5.2625000000000002</v>
      </c>
      <c r="G16" s="24">
        <v>-5.6689999999999996</v>
      </c>
      <c r="H16" s="47"/>
      <c r="I16" s="48">
        <v>-1.4954000000000001</v>
      </c>
      <c r="J16" s="49">
        <f t="shared" si="1"/>
        <v>-5.041925</v>
      </c>
      <c r="K16" s="49">
        <f t="shared" si="2"/>
        <v>0.28743890655233117</v>
      </c>
    </row>
    <row r="17" spans="3:11">
      <c r="C17" s="24"/>
      <c r="D17" s="24">
        <v>-1.2927999999999999</v>
      </c>
      <c r="E17" s="24">
        <v>1.6576</v>
      </c>
      <c r="F17" s="24">
        <v>-0.68103000000000002</v>
      </c>
      <c r="G17" s="24">
        <v>-1.6514</v>
      </c>
      <c r="H17" s="47"/>
      <c r="I17" s="48">
        <v>-1.3192999999999999</v>
      </c>
      <c r="J17" s="49">
        <f t="shared" si="1"/>
        <v>-0.4919075</v>
      </c>
      <c r="K17" s="49">
        <f t="shared" si="2"/>
        <v>0.68615520725998991</v>
      </c>
    </row>
    <row r="18" spans="3:11">
      <c r="C18" s="24"/>
      <c r="D18" s="24">
        <v>4.8411</v>
      </c>
      <c r="E18" s="24">
        <v>7.1555999999999997</v>
      </c>
      <c r="F18" s="24">
        <v>4.9240000000000004</v>
      </c>
      <c r="G18" s="24">
        <v>3.6463999999999999</v>
      </c>
      <c r="H18" s="47"/>
      <c r="I18" s="48">
        <v>-1.1377999999999999</v>
      </c>
      <c r="J18" s="49">
        <f t="shared" si="1"/>
        <v>5.141775</v>
      </c>
      <c r="K18" s="49">
        <f t="shared" si="2"/>
        <v>0.90339962364393867</v>
      </c>
    </row>
    <row r="19" spans="3:11">
      <c r="C19" s="24"/>
      <c r="D19" s="24">
        <v>12.432</v>
      </c>
      <c r="E19" s="24">
        <v>15.339</v>
      </c>
      <c r="F19" s="24">
        <v>12.955</v>
      </c>
      <c r="G19" s="24">
        <v>11.387</v>
      </c>
      <c r="H19" s="47"/>
      <c r="I19" s="48">
        <v>-0.91047999999999996</v>
      </c>
      <c r="J19" s="49">
        <f t="shared" si="1"/>
        <v>13.02825</v>
      </c>
      <c r="K19" s="49">
        <f t="shared" si="2"/>
        <v>1.1087434329005061</v>
      </c>
    </row>
    <row r="20" spans="3:11">
      <c r="C20" s="24"/>
      <c r="D20" s="24">
        <v>16.795000000000002</v>
      </c>
      <c r="E20" s="24">
        <v>19.946000000000002</v>
      </c>
      <c r="F20" s="24">
        <v>17.239000000000001</v>
      </c>
      <c r="G20" s="24">
        <v>15.231999999999999</v>
      </c>
      <c r="H20" s="47"/>
      <c r="I20" s="48">
        <v>-0.80139000000000005</v>
      </c>
      <c r="J20" s="49">
        <f t="shared" si="1"/>
        <v>17.303000000000001</v>
      </c>
      <c r="K20" s="49">
        <f t="shared" si="2"/>
        <v>1.4191633098414018</v>
      </c>
    </row>
    <row r="21" spans="3:11">
      <c r="C21" s="24"/>
      <c r="D21" s="24">
        <v>21.689</v>
      </c>
      <c r="E21" s="24">
        <v>24.887</v>
      </c>
      <c r="F21" s="24">
        <v>21.725000000000001</v>
      </c>
      <c r="G21" s="24">
        <v>19.143000000000001</v>
      </c>
      <c r="H21" s="47"/>
      <c r="I21" s="48">
        <v>-0.61355000000000004</v>
      </c>
      <c r="J21" s="49">
        <f t="shared" si="1"/>
        <v>21.861000000000001</v>
      </c>
      <c r="K21" s="49">
        <f t="shared" si="2"/>
        <v>1.8257497090236663</v>
      </c>
    </row>
    <row r="22" spans="3:11">
      <c r="C22" s="24"/>
      <c r="D22" s="24">
        <v>21.91</v>
      </c>
      <c r="E22" s="24">
        <v>25.402000000000001</v>
      </c>
      <c r="F22" s="24">
        <v>22.478999999999999</v>
      </c>
      <c r="G22" s="24">
        <v>20.013000000000002</v>
      </c>
      <c r="H22" s="47"/>
      <c r="I22" s="48">
        <v>-0.41436000000000001</v>
      </c>
      <c r="J22" s="49">
        <f t="shared" si="1"/>
        <v>22.451000000000001</v>
      </c>
      <c r="K22" s="49">
        <f t="shared" si="2"/>
        <v>1.7437253224060245</v>
      </c>
    </row>
    <row r="23" spans="3:11">
      <c r="C23" s="24"/>
      <c r="D23" s="24">
        <v>21.608000000000001</v>
      </c>
      <c r="E23" s="24">
        <v>25.283000000000001</v>
      </c>
      <c r="F23" s="24">
        <v>22.600999999999999</v>
      </c>
      <c r="G23" s="24">
        <v>20.225999999999999</v>
      </c>
      <c r="H23" s="47"/>
      <c r="I23" s="48">
        <v>-0.21526000000000001</v>
      </c>
      <c r="J23" s="49">
        <f t="shared" si="1"/>
        <v>22.429500000000001</v>
      </c>
      <c r="K23" s="49">
        <f t="shared" si="2"/>
        <v>1.6793786053180504</v>
      </c>
    </row>
    <row r="24" spans="3:11">
      <c r="C24" s="24"/>
      <c r="D24" s="24">
        <v>21.742000000000001</v>
      </c>
      <c r="E24" s="24">
        <v>25.51</v>
      </c>
      <c r="F24" s="24">
        <v>22.786000000000001</v>
      </c>
      <c r="G24" s="24">
        <v>20.375</v>
      </c>
      <c r="H24" s="47"/>
      <c r="I24" s="48">
        <v>-8.1311999999999995E-2</v>
      </c>
      <c r="J24" s="49">
        <f t="shared" si="1"/>
        <v>22.603250000000003</v>
      </c>
      <c r="K24" s="49">
        <f t="shared" si="2"/>
        <v>1.704834449440767</v>
      </c>
    </row>
    <row r="25" spans="3:11">
      <c r="C25" s="24"/>
      <c r="D25" s="24">
        <v>21.5</v>
      </c>
      <c r="E25" s="24">
        <v>25.442</v>
      </c>
      <c r="F25" s="24">
        <v>22.552</v>
      </c>
      <c r="G25" s="24">
        <v>20.215</v>
      </c>
      <c r="H25" s="47"/>
      <c r="I25" s="48">
        <v>0.12622</v>
      </c>
      <c r="J25" s="49">
        <f t="shared" si="1"/>
        <v>22.427250000000001</v>
      </c>
      <c r="K25" s="49">
        <f t="shared" si="2"/>
        <v>1.6525085476329615</v>
      </c>
    </row>
    <row r="26" spans="3:11">
      <c r="C26" s="24"/>
      <c r="D26" s="24">
        <v>21.088999999999999</v>
      </c>
      <c r="E26" s="24">
        <v>25.111000000000001</v>
      </c>
      <c r="F26" s="24">
        <v>22.184000000000001</v>
      </c>
      <c r="G26" s="24">
        <v>19.856000000000002</v>
      </c>
      <c r="H26" s="47"/>
      <c r="I26" s="48">
        <v>0.34420000000000001</v>
      </c>
      <c r="J26" s="49">
        <f t="shared" si="1"/>
        <v>22.060000000000002</v>
      </c>
      <c r="K26" s="49">
        <f t="shared" si="2"/>
        <v>1.6461445866022821</v>
      </c>
    </row>
    <row r="27" spans="3:11">
      <c r="C27" s="24"/>
      <c r="D27" s="24">
        <v>19.39</v>
      </c>
      <c r="E27" s="24">
        <v>24.469000000000001</v>
      </c>
      <c r="F27" s="24">
        <v>21.728000000000002</v>
      </c>
      <c r="G27" s="24">
        <v>19.298999999999999</v>
      </c>
      <c r="H27" s="47"/>
      <c r="I27" s="48">
        <v>0.59104999999999996</v>
      </c>
      <c r="J27" s="49">
        <f t="shared" si="1"/>
        <v>21.221499999999999</v>
      </c>
      <c r="K27" s="49">
        <f t="shared" si="2"/>
        <v>1.7175623715021253</v>
      </c>
    </row>
    <row r="28" spans="3:11">
      <c r="C28" s="24"/>
      <c r="D28" s="24">
        <v>13.507</v>
      </c>
      <c r="E28" s="24">
        <v>19.888999999999999</v>
      </c>
      <c r="F28" s="24">
        <v>17.600000000000001</v>
      </c>
      <c r="G28" s="24">
        <v>15.488</v>
      </c>
      <c r="H28" s="47"/>
      <c r="I28" s="48">
        <v>0.80127000000000004</v>
      </c>
      <c r="J28" s="49">
        <f t="shared" si="1"/>
        <v>16.621000000000002</v>
      </c>
      <c r="K28" s="49">
        <f t="shared" si="2"/>
        <v>1.4934095218659897</v>
      </c>
    </row>
    <row r="29" spans="3:11">
      <c r="C29" s="24"/>
      <c r="D29" s="24">
        <v>6.1467000000000001</v>
      </c>
      <c r="E29" s="24">
        <v>12.834</v>
      </c>
      <c r="F29" s="24">
        <v>10.478999999999999</v>
      </c>
      <c r="G29" s="24">
        <v>8.3798999999999992</v>
      </c>
      <c r="H29" s="47"/>
      <c r="I29" s="48">
        <v>1.0061</v>
      </c>
      <c r="J29" s="49">
        <f t="shared" si="1"/>
        <v>9.4598999999999993</v>
      </c>
      <c r="K29" s="49">
        <f t="shared" si="2"/>
        <v>1.4842878443886784</v>
      </c>
    </row>
    <row r="30" spans="3:11">
      <c r="C30" s="24"/>
      <c r="D30" s="24">
        <v>1.274</v>
      </c>
      <c r="E30" s="24">
        <v>6.7538</v>
      </c>
      <c r="F30" s="24">
        <v>3.59</v>
      </c>
      <c r="G30" s="24">
        <v>1.1041000000000001</v>
      </c>
      <c r="H30" s="47"/>
      <c r="I30" s="48">
        <v>1.2611000000000001</v>
      </c>
      <c r="J30" s="49">
        <f t="shared" si="1"/>
        <v>3.1804749999999999</v>
      </c>
      <c r="K30" s="49">
        <f t="shared" si="2"/>
        <v>1.7577967473516387</v>
      </c>
    </row>
    <row r="31" spans="3:11">
      <c r="C31" s="24"/>
      <c r="D31" s="24">
        <v>-0.39731</v>
      </c>
      <c r="E31" s="24">
        <v>4.4259000000000004</v>
      </c>
      <c r="F31" s="24">
        <v>0.58043</v>
      </c>
      <c r="G31" s="24">
        <v>-2.1044</v>
      </c>
      <c r="H31" s="47"/>
      <c r="I31" s="48">
        <v>1.4239999999999999</v>
      </c>
      <c r="J31" s="49">
        <f t="shared" si="1"/>
        <v>0.62615500000000002</v>
      </c>
      <c r="K31" s="49">
        <f t="shared" si="2"/>
        <v>1.8984614993330786</v>
      </c>
    </row>
    <row r="32" spans="3:11">
      <c r="C32" s="24"/>
      <c r="D32" s="24">
        <v>-2.4194</v>
      </c>
      <c r="E32" s="24">
        <v>1.8379000000000001</v>
      </c>
      <c r="F32" s="24">
        <v>-2.5459000000000001</v>
      </c>
      <c r="G32" s="24">
        <v>-5.6062000000000003</v>
      </c>
      <c r="H32" s="47"/>
      <c r="I32" s="48">
        <v>1.6345000000000001</v>
      </c>
      <c r="J32" s="49">
        <f t="shared" si="1"/>
        <v>-2.1833999999999998</v>
      </c>
      <c r="K32" s="49">
        <f t="shared" si="2"/>
        <v>2.1639588824651916</v>
      </c>
    </row>
    <row r="33" spans="3:11">
      <c r="C33" s="24"/>
      <c r="D33" s="24">
        <v>-4.7907000000000002</v>
      </c>
      <c r="E33" s="24">
        <v>-0.82730999999999999</v>
      </c>
      <c r="F33" s="24">
        <v>-5.0598000000000001</v>
      </c>
      <c r="G33" s="24">
        <v>-8.3376000000000001</v>
      </c>
      <c r="H33" s="47"/>
      <c r="I33" s="48">
        <v>1.8291999999999999</v>
      </c>
      <c r="J33" s="49">
        <f t="shared" si="1"/>
        <v>-4.7538525000000007</v>
      </c>
      <c r="K33" s="49">
        <f t="shared" si="2"/>
        <v>2.3177546073732622</v>
      </c>
    </row>
    <row r="34" spans="3:11">
      <c r="C34" s="24"/>
      <c r="D34" s="24">
        <v>-5.8788</v>
      </c>
      <c r="E34" s="24">
        <v>-1.4595</v>
      </c>
      <c r="F34" s="24">
        <v>-5.7835999999999999</v>
      </c>
      <c r="G34" s="24">
        <v>-9.0227000000000004</v>
      </c>
      <c r="H34" s="47"/>
      <c r="I34" s="48">
        <v>2.0093999999999999</v>
      </c>
      <c r="J34" s="49">
        <f t="shared" si="1"/>
        <v>-5.5361500000000001</v>
      </c>
      <c r="K34" s="49">
        <f t="shared" si="2"/>
        <v>2.2903895749413459</v>
      </c>
    </row>
    <row r="35" spans="3:11">
      <c r="C35" s="24"/>
      <c r="D35" s="24">
        <v>-4.2323000000000004</v>
      </c>
      <c r="E35" s="24">
        <v>1.0810999999999999</v>
      </c>
      <c r="F35" s="24">
        <v>-3.4039999999999999</v>
      </c>
      <c r="G35" s="24">
        <v>-6.7911999999999999</v>
      </c>
      <c r="H35" s="47"/>
      <c r="I35" s="48">
        <v>2.2193000000000001</v>
      </c>
      <c r="J35" s="49">
        <f t="shared" si="1"/>
        <v>-3.3365999999999998</v>
      </c>
      <c r="K35" s="49">
        <f t="shared" si="2"/>
        <v>2.3951120892350737</v>
      </c>
    </row>
    <row r="36" spans="3:11">
      <c r="C36" s="24"/>
      <c r="D36" s="24">
        <v>-0.94499</v>
      </c>
      <c r="E36" s="24">
        <v>5.2611999999999997</v>
      </c>
      <c r="F36" s="24">
        <v>0.64032</v>
      </c>
      <c r="G36" s="24">
        <v>-3.2877999999999998</v>
      </c>
      <c r="H36" s="47"/>
      <c r="I36" s="48">
        <v>2.4588999999999999</v>
      </c>
      <c r="J36" s="49">
        <f t="shared" si="1"/>
        <v>0.41718250000000001</v>
      </c>
      <c r="K36" s="49">
        <f t="shared" si="2"/>
        <v>2.7776002893145009</v>
      </c>
    </row>
    <row r="37" spans="3:11">
      <c r="C37" s="24"/>
      <c r="D37" s="24">
        <v>0.74526999999999999</v>
      </c>
      <c r="E37" s="24">
        <v>7.1520999999999999</v>
      </c>
      <c r="F37" s="24">
        <v>2.4664999999999999</v>
      </c>
      <c r="G37" s="24">
        <v>-1.5065999999999999</v>
      </c>
      <c r="H37" s="47"/>
      <c r="I37" s="48">
        <v>2.6867000000000001</v>
      </c>
      <c r="J37" s="49">
        <f t="shared" si="1"/>
        <v>2.2143174999999995</v>
      </c>
      <c r="K37" s="49">
        <f t="shared" si="2"/>
        <v>2.8094059523322716</v>
      </c>
    </row>
    <row r="38" spans="3:11">
      <c r="C38" s="24"/>
      <c r="D38" s="24">
        <v>0.58216999999999997</v>
      </c>
      <c r="E38" s="24">
        <v>7.0011000000000001</v>
      </c>
      <c r="F38" s="24">
        <v>2.4836999999999998</v>
      </c>
      <c r="G38" s="24">
        <v>-1.3319000000000001</v>
      </c>
      <c r="H38" s="47"/>
      <c r="I38" s="48">
        <v>2.8306</v>
      </c>
      <c r="J38" s="49">
        <f t="shared" si="1"/>
        <v>2.1837675000000001</v>
      </c>
      <c r="K38" s="49">
        <f t="shared" si="2"/>
        <v>2.6980366342953905</v>
      </c>
    </row>
    <row r="39" spans="3:11">
      <c r="C39" s="24"/>
      <c r="D39" s="24">
        <v>0.54503999999999997</v>
      </c>
      <c r="E39" s="24">
        <v>7.1319999999999997</v>
      </c>
      <c r="F39" s="24">
        <v>2.6444000000000001</v>
      </c>
      <c r="G39" s="24">
        <v>-1.1079000000000001</v>
      </c>
      <c r="H39" s="47"/>
      <c r="I39" s="48">
        <v>3.0463</v>
      </c>
      <c r="J39" s="49">
        <f t="shared" si="1"/>
        <v>2.3033849999999996</v>
      </c>
      <c r="K39" s="49">
        <f t="shared" si="2"/>
        <v>2.6532767750462827</v>
      </c>
    </row>
    <row r="40" spans="3:11">
      <c r="C40" s="24"/>
      <c r="D40" s="24">
        <v>0.81188000000000005</v>
      </c>
      <c r="E40" s="24">
        <v>7.4911000000000003</v>
      </c>
      <c r="F40" s="24">
        <v>3.0215999999999998</v>
      </c>
      <c r="G40" s="24">
        <v>-0.72875000000000001</v>
      </c>
      <c r="H40" s="47"/>
      <c r="I40" s="48">
        <v>3.2530000000000001</v>
      </c>
      <c r="J40" s="49">
        <f t="shared" si="1"/>
        <v>2.6489574999999999</v>
      </c>
      <c r="K40" s="49">
        <f t="shared" si="2"/>
        <v>2.6518979168229686</v>
      </c>
    </row>
    <row r="41" spans="3:11">
      <c r="C41" s="24"/>
      <c r="D41" s="24">
        <v>1.0504</v>
      </c>
      <c r="E41" s="24">
        <v>7.7904999999999998</v>
      </c>
      <c r="F41" s="24">
        <v>3.3414999999999999</v>
      </c>
      <c r="G41" s="24">
        <v>-0.41132000000000002</v>
      </c>
      <c r="H41" s="47"/>
      <c r="I41" s="48">
        <v>3.4756</v>
      </c>
      <c r="J41" s="49">
        <f t="shared" si="1"/>
        <v>2.9427699999999999</v>
      </c>
      <c r="K41" s="49">
        <f t="shared" si="2"/>
        <v>2.6536444705724995</v>
      </c>
    </row>
    <row r="42" spans="3:11">
      <c r="C42" s="24"/>
      <c r="D42" s="24">
        <v>1.1145</v>
      </c>
      <c r="E42" s="24">
        <v>7.9055</v>
      </c>
      <c r="F42" s="24">
        <v>3.4632000000000001</v>
      </c>
      <c r="G42" s="24">
        <v>-0.28682999999999997</v>
      </c>
      <c r="H42" s="47"/>
      <c r="I42" s="48">
        <v>3.6640000000000001</v>
      </c>
      <c r="J42" s="49">
        <f t="shared" si="1"/>
        <v>3.0490925</v>
      </c>
      <c r="K42" s="49">
        <f>STDEV(F42:G42)</f>
        <v>2.6516716426529894</v>
      </c>
    </row>
    <row r="43" spans="3:11">
      <c r="C43" s="24"/>
      <c r="D43" s="24">
        <v>1.0864</v>
      </c>
      <c r="E43" s="24">
        <v>7.9151999999999996</v>
      </c>
      <c r="F43" s="24">
        <v>3.4910000000000001</v>
      </c>
      <c r="G43" s="24">
        <v>-0.24349000000000001</v>
      </c>
      <c r="H43" s="47"/>
      <c r="I43" s="48">
        <v>3.8813</v>
      </c>
      <c r="J43" s="49">
        <f t="shared" si="1"/>
        <v>3.0622775</v>
      </c>
      <c r="K43" s="49">
        <f t="shared" si="2"/>
        <v>2.6406832032733503</v>
      </c>
    </row>
    <row r="44" spans="3:11">
      <c r="C44" s="24"/>
      <c r="D44" s="24">
        <v>1.1126</v>
      </c>
      <c r="E44" s="24">
        <v>7.9180999999999999</v>
      </c>
      <c r="F44" s="24">
        <v>3.5106999999999999</v>
      </c>
      <c r="G44" s="24">
        <v>-0.2137</v>
      </c>
      <c r="H44" s="47"/>
      <c r="I44" s="48">
        <v>4.0567000000000002</v>
      </c>
      <c r="J44" s="49">
        <f t="shared" si="1"/>
        <v>3.081925</v>
      </c>
      <c r="K44" s="49">
        <f t="shared" si="2"/>
        <v>2.6335484958511777</v>
      </c>
    </row>
    <row r="52" spans="2:11">
      <c r="B52" s="46" t="s">
        <v>0</v>
      </c>
    </row>
    <row r="53" spans="2:11">
      <c r="B53" t="s">
        <v>135</v>
      </c>
    </row>
    <row r="55" spans="2:11">
      <c r="I55" s="46" t="s">
        <v>13</v>
      </c>
      <c r="J55" s="46" t="s">
        <v>136</v>
      </c>
      <c r="K55" s="46" t="s">
        <v>137</v>
      </c>
    </row>
    <row r="56" spans="2:11">
      <c r="C56" s="24"/>
      <c r="D56" s="24">
        <v>0</v>
      </c>
      <c r="E56" s="24">
        <v>0</v>
      </c>
      <c r="F56" s="24">
        <v>0</v>
      </c>
      <c r="G56" s="24">
        <v>0</v>
      </c>
      <c r="I56" s="48">
        <v>-3.4807000000000001</v>
      </c>
      <c r="J56" s="49">
        <f>AVERAGE(D56:G56)</f>
        <v>0</v>
      </c>
      <c r="K56" s="49">
        <f>STDEV(F56:G56)</f>
        <v>0</v>
      </c>
    </row>
    <row r="57" spans="2:11">
      <c r="C57" s="24"/>
      <c r="D57" s="24">
        <v>-5.2477000000000003E-2</v>
      </c>
      <c r="E57" s="24">
        <v>-1.1166000000000001E-2</v>
      </c>
      <c r="F57" s="24">
        <v>4.0194999999999996E-3</v>
      </c>
      <c r="G57" s="24">
        <v>1.4661E-2</v>
      </c>
      <c r="I57" s="48">
        <v>-3.2919999999999998</v>
      </c>
      <c r="J57" s="49">
        <f t="shared" ref="J57:J94" si="4">AVERAGE(D57:G57)</f>
        <v>-1.1240625000000001E-2</v>
      </c>
      <c r="K57" s="49">
        <f t="shared" ref="K57:K94" si="5">STDEV(F57:G57)</f>
        <v>7.524676811996648E-3</v>
      </c>
    </row>
    <row r="58" spans="2:11">
      <c r="C58" s="24"/>
      <c r="D58" s="24">
        <v>3.2885999999999999E-2</v>
      </c>
      <c r="E58" s="24">
        <v>5.5945000000000002E-2</v>
      </c>
      <c r="F58" s="24">
        <v>7.1434999999999998E-2</v>
      </c>
      <c r="G58" s="24">
        <v>8.9968000000000006E-2</v>
      </c>
      <c r="I58" s="48">
        <v>-3.1227999999999998</v>
      </c>
      <c r="J58" s="49">
        <f t="shared" si="4"/>
        <v>6.2558500000000003E-2</v>
      </c>
      <c r="K58" s="49">
        <f t="shared" si="5"/>
        <v>1.3104809975730271E-2</v>
      </c>
    </row>
    <row r="59" spans="2:11">
      <c r="C59" s="24"/>
      <c r="D59" s="24">
        <v>0.54178000000000004</v>
      </c>
      <c r="E59" s="24">
        <v>0.42549999999999999</v>
      </c>
      <c r="F59" s="24">
        <v>0.47183000000000003</v>
      </c>
      <c r="G59" s="24">
        <v>0.49334</v>
      </c>
      <c r="I59" s="48">
        <v>-2.8965000000000001</v>
      </c>
      <c r="J59" s="49">
        <f t="shared" si="4"/>
        <v>0.48311250000000006</v>
      </c>
      <c r="K59" s="49">
        <f t="shared" si="5"/>
        <v>1.5209866863322619E-2</v>
      </c>
    </row>
    <row r="60" spans="2:11">
      <c r="C60" s="24"/>
      <c r="D60" s="24">
        <v>1.2202999999999999</v>
      </c>
      <c r="E60" s="24">
        <v>1.1226</v>
      </c>
      <c r="F60" s="24">
        <v>1.2069000000000001</v>
      </c>
      <c r="G60" s="24">
        <v>1.2063999999999999</v>
      </c>
      <c r="I60" s="48">
        <v>-2.7277</v>
      </c>
      <c r="J60" s="49">
        <f t="shared" si="4"/>
        <v>1.1890499999999999</v>
      </c>
      <c r="K60" s="49">
        <f t="shared" si="5"/>
        <v>3.5355339059339183E-4</v>
      </c>
    </row>
    <row r="61" spans="2:11">
      <c r="C61" s="24"/>
      <c r="D61" s="24">
        <v>1.9157999999999999</v>
      </c>
      <c r="E61" s="24">
        <v>2.0644</v>
      </c>
      <c r="F61" s="24">
        <v>2.2113999999999998</v>
      </c>
      <c r="G61" s="24">
        <v>2.11</v>
      </c>
      <c r="I61" s="48">
        <v>-2.5687000000000002</v>
      </c>
      <c r="J61" s="49">
        <f t="shared" si="4"/>
        <v>2.0753999999999997</v>
      </c>
      <c r="K61" s="49">
        <f t="shared" si="5"/>
        <v>7.1700627612315881E-2</v>
      </c>
    </row>
    <row r="62" spans="2:11">
      <c r="C62" s="24"/>
      <c r="D62" s="24">
        <v>1.8472999999999999</v>
      </c>
      <c r="E62" s="24">
        <v>2.2273999999999998</v>
      </c>
      <c r="F62" s="24">
        <v>2.4129</v>
      </c>
      <c r="G62" s="24">
        <v>2.1617000000000002</v>
      </c>
      <c r="I62" s="48">
        <v>-2.3472</v>
      </c>
      <c r="J62" s="49">
        <f t="shared" si="4"/>
        <v>2.1623250000000001</v>
      </c>
      <c r="K62" s="49">
        <f t="shared" si="5"/>
        <v>0.17762522343406065</v>
      </c>
    </row>
    <row r="63" spans="2:11">
      <c r="C63" s="24"/>
      <c r="D63" s="24">
        <v>1.1910000000000001</v>
      </c>
      <c r="E63" s="24">
        <v>1.6307</v>
      </c>
      <c r="F63" s="24">
        <v>1.7722</v>
      </c>
      <c r="G63" s="24">
        <v>1.4865999999999999</v>
      </c>
      <c r="I63" s="48">
        <v>-2.2275</v>
      </c>
      <c r="J63" s="49">
        <f t="shared" si="4"/>
        <v>1.5201249999999999</v>
      </c>
      <c r="K63" s="49">
        <f t="shared" si="5"/>
        <v>0.20194969670687804</v>
      </c>
    </row>
    <row r="64" spans="2:11">
      <c r="C64" s="24"/>
      <c r="D64" s="24">
        <v>0.37362000000000001</v>
      </c>
      <c r="E64" s="24">
        <v>1.0986</v>
      </c>
      <c r="F64" s="24">
        <v>1.149</v>
      </c>
      <c r="G64" s="24">
        <v>0.59053999999999995</v>
      </c>
      <c r="I64" s="48">
        <v>-2.0423</v>
      </c>
      <c r="J64" s="49">
        <f t="shared" si="4"/>
        <v>0.80293999999999999</v>
      </c>
      <c r="K64" s="49">
        <f t="shared" si="5"/>
        <v>0.39489085302143945</v>
      </c>
    </row>
    <row r="65" spans="3:11">
      <c r="C65" s="24"/>
      <c r="D65" s="24">
        <v>-1.7308E-2</v>
      </c>
      <c r="E65" s="24">
        <v>1.1147</v>
      </c>
      <c r="F65" s="24">
        <v>1.2558</v>
      </c>
      <c r="G65" s="24">
        <v>0.42575000000000002</v>
      </c>
      <c r="I65" s="48">
        <v>-1.8162</v>
      </c>
      <c r="J65" s="49">
        <f t="shared" si="4"/>
        <v>0.69473549999999995</v>
      </c>
      <c r="K65" s="49">
        <f t="shared" si="5"/>
        <v>0.5869339837238936</v>
      </c>
    </row>
    <row r="66" spans="3:11">
      <c r="C66" s="24"/>
      <c r="D66" s="24">
        <v>1.5331999999999999</v>
      </c>
      <c r="E66" s="24">
        <v>2.9020999999999999</v>
      </c>
      <c r="F66" s="24">
        <v>3.1137000000000001</v>
      </c>
      <c r="G66" s="24">
        <v>2.2197</v>
      </c>
      <c r="I66" s="48">
        <v>-1.6168</v>
      </c>
      <c r="J66" s="49">
        <f t="shared" si="4"/>
        <v>2.4421749999999998</v>
      </c>
      <c r="K66" s="49">
        <f t="shared" si="5"/>
        <v>0.63215346238077508</v>
      </c>
    </row>
    <row r="67" spans="3:11">
      <c r="C67" s="24"/>
      <c r="D67" s="24">
        <v>3.6185999999999998</v>
      </c>
      <c r="E67" s="24">
        <v>5.3064</v>
      </c>
      <c r="F67" s="24">
        <v>5.7100999999999997</v>
      </c>
      <c r="G67" s="24">
        <v>4.7415000000000003</v>
      </c>
      <c r="I67" s="48">
        <v>-1.46</v>
      </c>
      <c r="J67" s="49">
        <f t="shared" si="4"/>
        <v>4.8441500000000008</v>
      </c>
      <c r="K67" s="49">
        <f t="shared" si="5"/>
        <v>0.68490362825728957</v>
      </c>
    </row>
    <row r="68" spans="3:11">
      <c r="C68" s="24"/>
      <c r="D68" s="24">
        <v>7.0282999999999998</v>
      </c>
      <c r="E68" s="24">
        <v>8.6529000000000007</v>
      </c>
      <c r="F68" s="24">
        <v>9.4860000000000007</v>
      </c>
      <c r="G68" s="24">
        <v>8.8056000000000001</v>
      </c>
      <c r="I68" s="48">
        <v>-1.2323</v>
      </c>
      <c r="J68" s="49">
        <f t="shared" si="4"/>
        <v>8.4931999999999999</v>
      </c>
      <c r="K68" s="49">
        <f t="shared" si="5"/>
        <v>0.48111545391932731</v>
      </c>
    </row>
    <row r="69" spans="3:11">
      <c r="C69" s="24"/>
      <c r="D69" s="24">
        <v>10.07</v>
      </c>
      <c r="E69" s="24">
        <v>11.999000000000001</v>
      </c>
      <c r="F69" s="24">
        <v>13.138</v>
      </c>
      <c r="G69" s="24">
        <v>12.879</v>
      </c>
      <c r="I69" s="48">
        <v>-1.0306999999999999</v>
      </c>
      <c r="J69" s="49">
        <f t="shared" si="4"/>
        <v>12.0215</v>
      </c>
      <c r="K69" s="49">
        <f t="shared" si="5"/>
        <v>0.18314065632731605</v>
      </c>
    </row>
    <row r="70" spans="3:11">
      <c r="C70" s="24"/>
      <c r="D70" s="24">
        <v>10.689</v>
      </c>
      <c r="E70" s="24">
        <v>13.2</v>
      </c>
      <c r="F70" s="24">
        <v>14.663</v>
      </c>
      <c r="G70" s="24">
        <v>14.521000000000001</v>
      </c>
      <c r="I70" s="48">
        <v>-0.87773000000000001</v>
      </c>
      <c r="J70" s="49">
        <f t="shared" si="4"/>
        <v>13.26825</v>
      </c>
      <c r="K70" s="49">
        <f t="shared" si="5"/>
        <v>0.10040916292848936</v>
      </c>
    </row>
    <row r="71" spans="3:11">
      <c r="C71" s="24"/>
      <c r="D71" s="24">
        <v>10.304</v>
      </c>
      <c r="E71" s="24">
        <v>12.821999999999999</v>
      </c>
      <c r="F71" s="24">
        <v>14.561999999999999</v>
      </c>
      <c r="G71" s="24">
        <v>14.308</v>
      </c>
      <c r="I71" s="48">
        <v>-0.69386000000000003</v>
      </c>
      <c r="J71" s="49">
        <f t="shared" si="4"/>
        <v>12.998999999999999</v>
      </c>
      <c r="K71" s="49">
        <f t="shared" si="5"/>
        <v>0.17960512242138277</v>
      </c>
    </row>
    <row r="72" spans="3:11">
      <c r="C72" s="24"/>
      <c r="D72" s="24">
        <v>9.2598000000000003</v>
      </c>
      <c r="E72" s="24">
        <v>11.846</v>
      </c>
      <c r="F72" s="24">
        <v>13.766999999999999</v>
      </c>
      <c r="G72" s="24">
        <v>13.506</v>
      </c>
      <c r="I72" s="48">
        <v>-0.49081000000000002</v>
      </c>
      <c r="J72" s="49">
        <f t="shared" si="4"/>
        <v>12.0947</v>
      </c>
      <c r="K72" s="49">
        <f t="shared" si="5"/>
        <v>0.18455486988968836</v>
      </c>
    </row>
    <row r="73" spans="3:11">
      <c r="C73" s="24"/>
      <c r="D73" s="24">
        <v>7.609</v>
      </c>
      <c r="E73" s="24">
        <v>10.462999999999999</v>
      </c>
      <c r="F73" s="24">
        <v>12.342000000000001</v>
      </c>
      <c r="G73" s="24">
        <v>12.209</v>
      </c>
      <c r="I73" s="48">
        <v>-0.26457000000000003</v>
      </c>
      <c r="J73" s="49">
        <f t="shared" si="4"/>
        <v>10.655750000000001</v>
      </c>
      <c r="K73" s="49">
        <f t="shared" si="5"/>
        <v>9.4045201897811459E-2</v>
      </c>
    </row>
    <row r="74" spans="3:11">
      <c r="C74" s="24"/>
      <c r="D74" s="24">
        <v>6.6859999999999999</v>
      </c>
      <c r="E74" s="24">
        <v>9.8102</v>
      </c>
      <c r="F74" s="24">
        <v>11.678000000000001</v>
      </c>
      <c r="G74" s="24">
        <v>11.529</v>
      </c>
      <c r="I74" s="48">
        <v>-6.2621999999999997E-2</v>
      </c>
      <c r="J74" s="49">
        <f t="shared" si="4"/>
        <v>9.9258000000000006</v>
      </c>
      <c r="K74" s="49">
        <f t="shared" si="5"/>
        <v>0.10535891039679623</v>
      </c>
    </row>
    <row r="75" spans="3:11">
      <c r="C75" s="24"/>
      <c r="D75" s="24">
        <v>6.7971000000000004</v>
      </c>
      <c r="E75" s="24">
        <v>9.8840000000000003</v>
      </c>
      <c r="F75" s="24">
        <v>11.726000000000001</v>
      </c>
      <c r="G75" s="24">
        <v>11.561999999999999</v>
      </c>
      <c r="I75" s="48">
        <v>0.12734999999999999</v>
      </c>
      <c r="J75" s="49">
        <f t="shared" si="4"/>
        <v>9.9922749999999994</v>
      </c>
      <c r="K75" s="49">
        <f t="shared" si="5"/>
        <v>0.11596551211459484</v>
      </c>
    </row>
    <row r="76" spans="3:11">
      <c r="C76" s="24"/>
      <c r="D76" s="24">
        <v>7.9345999999999997</v>
      </c>
      <c r="E76" s="24">
        <v>10.763</v>
      </c>
      <c r="F76" s="24">
        <v>12.496</v>
      </c>
      <c r="G76" s="24">
        <v>12.343</v>
      </c>
      <c r="I76" s="48">
        <v>0.31852999999999998</v>
      </c>
      <c r="J76" s="49">
        <f t="shared" si="4"/>
        <v>10.884150000000002</v>
      </c>
      <c r="K76" s="49">
        <f t="shared" si="5"/>
        <v>0.10818733752154211</v>
      </c>
    </row>
    <row r="77" spans="3:11">
      <c r="C77" s="24"/>
      <c r="D77" s="24">
        <v>9.6745999999999999</v>
      </c>
      <c r="E77" s="24">
        <v>12.632999999999999</v>
      </c>
      <c r="F77" s="24">
        <v>14.266999999999999</v>
      </c>
      <c r="G77" s="24">
        <v>14.11</v>
      </c>
      <c r="I77" s="48">
        <v>0.70618999999999998</v>
      </c>
      <c r="J77" s="49">
        <f t="shared" si="4"/>
        <v>12.671150000000001</v>
      </c>
      <c r="K77" s="49">
        <f t="shared" si="5"/>
        <v>0.11101576464628798</v>
      </c>
    </row>
    <row r="78" spans="3:11">
      <c r="C78" s="24"/>
      <c r="D78" s="24">
        <v>9.0312000000000001</v>
      </c>
      <c r="E78" s="24">
        <v>11.536</v>
      </c>
      <c r="F78" s="24">
        <v>13.429</v>
      </c>
      <c r="G78" s="24">
        <v>13.343999999999999</v>
      </c>
      <c r="I78" s="48">
        <v>0.90217000000000003</v>
      </c>
      <c r="J78" s="49">
        <f t="shared" si="4"/>
        <v>11.835050000000001</v>
      </c>
      <c r="K78" s="49">
        <f t="shared" si="5"/>
        <v>6.0104076400857145E-2</v>
      </c>
    </row>
    <row r="79" spans="3:11">
      <c r="C79" s="24"/>
      <c r="D79" s="24">
        <v>7.1010999999999997</v>
      </c>
      <c r="E79" s="24">
        <v>8.6608000000000001</v>
      </c>
      <c r="F79" s="24">
        <v>10.596</v>
      </c>
      <c r="G79" s="24">
        <v>10.519</v>
      </c>
      <c r="I79" s="48">
        <v>1.0881000000000001</v>
      </c>
      <c r="J79" s="49">
        <f t="shared" si="4"/>
        <v>9.2192249999999998</v>
      </c>
      <c r="K79" s="49">
        <f t="shared" si="5"/>
        <v>5.4447222151364126E-2</v>
      </c>
    </row>
    <row r="80" spans="3:11">
      <c r="C80" s="24"/>
      <c r="D80" s="24">
        <v>2.6219999999999999</v>
      </c>
      <c r="E80" s="24">
        <v>4.1715</v>
      </c>
      <c r="F80" s="24">
        <v>6.0803000000000003</v>
      </c>
      <c r="G80" s="24">
        <v>5.8291000000000004</v>
      </c>
      <c r="I80" s="48">
        <v>1.3172999999999999</v>
      </c>
      <c r="J80" s="49">
        <f t="shared" si="4"/>
        <v>4.6757249999999999</v>
      </c>
      <c r="K80" s="49">
        <f t="shared" si="5"/>
        <v>0.17762522343406062</v>
      </c>
    </row>
    <row r="81" spans="3:11">
      <c r="C81" s="24"/>
      <c r="D81" s="24">
        <v>-1.8842000000000001</v>
      </c>
      <c r="E81" s="24">
        <v>-2.2622E-2</v>
      </c>
      <c r="F81" s="24">
        <v>2.0672999999999999</v>
      </c>
      <c r="G81" s="24">
        <v>1.8985000000000001</v>
      </c>
      <c r="I81" s="48">
        <v>1.522</v>
      </c>
      <c r="J81" s="49">
        <f t="shared" si="4"/>
        <v>0.51474449999999994</v>
      </c>
      <c r="K81" s="49">
        <f t="shared" si="5"/>
        <v>0.11935962466428911</v>
      </c>
    </row>
    <row r="82" spans="3:11">
      <c r="C82" s="24"/>
      <c r="D82" s="24">
        <v>-3.5968</v>
      </c>
      <c r="E82" s="24">
        <v>-1.9394</v>
      </c>
      <c r="F82" s="24">
        <v>4.2938999999999998E-2</v>
      </c>
      <c r="G82" s="24">
        <v>-4.2784000000000003E-2</v>
      </c>
      <c r="I82" s="48">
        <v>1.694</v>
      </c>
      <c r="J82" s="49">
        <f t="shared" si="4"/>
        <v>-1.3840112500000001</v>
      </c>
      <c r="K82" s="49">
        <f t="shared" si="5"/>
        <v>6.0615314603654415E-2</v>
      </c>
    </row>
    <row r="83" spans="3:11">
      <c r="C83" s="24"/>
      <c r="D83" s="24">
        <v>-4.6376999999999997</v>
      </c>
      <c r="E83" s="24">
        <v>-2.7488000000000001</v>
      </c>
      <c r="F83" s="24">
        <v>-0.80993000000000004</v>
      </c>
      <c r="G83" s="24">
        <v>-1.0197000000000001</v>
      </c>
      <c r="I83" s="48">
        <v>1.885</v>
      </c>
      <c r="J83" s="49">
        <f t="shared" si="4"/>
        <v>-2.3040324999999999</v>
      </c>
      <c r="K83" s="49">
        <f t="shared" si="5"/>
        <v>0.14832978948950162</v>
      </c>
    </row>
    <row r="84" spans="3:11">
      <c r="C84" s="24"/>
      <c r="D84" s="24">
        <v>-5.2755999999999998</v>
      </c>
      <c r="E84" s="24">
        <v>-2.9481999999999999</v>
      </c>
      <c r="F84" s="24">
        <v>-0.90490000000000004</v>
      </c>
      <c r="G84" s="24">
        <v>-1.077</v>
      </c>
      <c r="I84" s="48">
        <v>2.0550000000000002</v>
      </c>
      <c r="J84" s="49">
        <f t="shared" si="4"/>
        <v>-2.5514250000000001</v>
      </c>
      <c r="K84" s="49">
        <f t="shared" si="5"/>
        <v>0.12169307704220478</v>
      </c>
    </row>
    <row r="85" spans="3:11">
      <c r="C85" s="24"/>
      <c r="D85" s="24">
        <v>-4.7302</v>
      </c>
      <c r="E85" s="24">
        <v>-2.3917999999999999</v>
      </c>
      <c r="F85" s="24">
        <v>-0.18393999999999999</v>
      </c>
      <c r="G85" s="24">
        <v>-0.33751999999999999</v>
      </c>
      <c r="I85" s="48">
        <v>2.2134</v>
      </c>
      <c r="J85" s="49">
        <f t="shared" si="4"/>
        <v>-1.9108649999999998</v>
      </c>
      <c r="K85" s="49">
        <f t="shared" si="5"/>
        <v>0.10859745945462994</v>
      </c>
    </row>
    <row r="86" spans="3:11">
      <c r="C86" s="24"/>
      <c r="D86" s="24">
        <v>-4.8026</v>
      </c>
      <c r="E86" s="24">
        <v>-1.9561999999999999</v>
      </c>
      <c r="F86" s="24">
        <v>0.50349999999999995</v>
      </c>
      <c r="G86" s="24">
        <v>0.32355</v>
      </c>
      <c r="I86" s="48">
        <v>2.4066000000000001</v>
      </c>
      <c r="J86" s="49">
        <f t="shared" si="4"/>
        <v>-1.4829375</v>
      </c>
      <c r="K86" s="49">
        <f t="shared" si="5"/>
        <v>0.12724386527451925</v>
      </c>
    </row>
    <row r="87" spans="3:11">
      <c r="C87" s="24"/>
      <c r="D87" s="24">
        <v>-6.4394999999999998</v>
      </c>
      <c r="E87" s="24">
        <v>-2.8064</v>
      </c>
      <c r="F87" s="24">
        <v>-0.17005999999999999</v>
      </c>
      <c r="G87" s="24">
        <v>-0.27788000000000002</v>
      </c>
      <c r="I87" s="48">
        <v>2.6532</v>
      </c>
      <c r="J87" s="49">
        <f t="shared" si="4"/>
        <v>-2.4234599999999995</v>
      </c>
      <c r="K87" s="49">
        <f t="shared" si="5"/>
        <v>7.6240253147533577E-2</v>
      </c>
    </row>
    <row r="88" spans="3:11">
      <c r="C88" s="24"/>
      <c r="D88" s="24">
        <v>-7.4268000000000001</v>
      </c>
      <c r="E88" s="24">
        <v>-3.8658000000000001</v>
      </c>
      <c r="F88" s="24">
        <v>-1.1713</v>
      </c>
      <c r="G88" s="24">
        <v>-1.2603</v>
      </c>
      <c r="I88" s="48">
        <v>2.8567</v>
      </c>
      <c r="J88" s="49">
        <f t="shared" si="4"/>
        <v>-3.4310499999999999</v>
      </c>
      <c r="K88" s="49">
        <f t="shared" si="5"/>
        <v>6.2932503525602701E-2</v>
      </c>
    </row>
    <row r="89" spans="3:11">
      <c r="C89" s="24"/>
      <c r="D89" s="24">
        <v>-7.8244999999999996</v>
      </c>
      <c r="E89" s="24">
        <v>-4.4039000000000001</v>
      </c>
      <c r="F89" s="24">
        <v>-1.7133</v>
      </c>
      <c r="G89" s="24">
        <v>-1.7964</v>
      </c>
      <c r="I89" s="48">
        <v>3.0606</v>
      </c>
      <c r="J89" s="49">
        <f t="shared" si="4"/>
        <v>-3.9345250000000003</v>
      </c>
      <c r="K89" s="49">
        <f t="shared" si="5"/>
        <v>5.8760573516602063E-2</v>
      </c>
    </row>
    <row r="90" spans="3:11">
      <c r="C90" s="24"/>
      <c r="D90" s="24">
        <v>-7.9348999999999998</v>
      </c>
      <c r="E90" s="24">
        <v>-4.5662000000000003</v>
      </c>
      <c r="F90" s="24">
        <v>-1.8865000000000001</v>
      </c>
      <c r="G90" s="24">
        <v>-1.9975000000000001</v>
      </c>
      <c r="I90" s="48">
        <v>3.2738</v>
      </c>
      <c r="J90" s="49">
        <f t="shared" si="4"/>
        <v>-4.0962750000000003</v>
      </c>
      <c r="K90" s="49">
        <f t="shared" si="5"/>
        <v>7.8488852711706775E-2</v>
      </c>
    </row>
    <row r="91" spans="3:11">
      <c r="C91" s="24"/>
      <c r="D91" s="24">
        <v>-7.9203000000000001</v>
      </c>
      <c r="E91" s="24">
        <v>-4.6056999999999997</v>
      </c>
      <c r="F91" s="24">
        <v>-1.9330000000000001</v>
      </c>
      <c r="G91" s="24">
        <v>-2.0415999999999999</v>
      </c>
      <c r="I91" s="48">
        <v>3.4575</v>
      </c>
      <c r="J91" s="49">
        <f t="shared" si="4"/>
        <v>-4.1251499999999997</v>
      </c>
      <c r="K91" s="49">
        <f t="shared" si="5"/>
        <v>7.679179643685892E-2</v>
      </c>
    </row>
    <row r="92" spans="3:11">
      <c r="C92" s="24"/>
      <c r="D92" s="24">
        <v>-7.8933999999999997</v>
      </c>
      <c r="E92" s="24">
        <v>-4.5978000000000003</v>
      </c>
      <c r="F92" s="24">
        <v>-1.9461999999999999</v>
      </c>
      <c r="G92" s="24">
        <v>-2.0451999999999999</v>
      </c>
      <c r="I92" s="48">
        <v>3.6606999999999998</v>
      </c>
      <c r="J92" s="49">
        <f t="shared" si="4"/>
        <v>-4.1206499999999995</v>
      </c>
      <c r="K92" s="49">
        <f t="shared" si="5"/>
        <v>7.0003571337468193E-2</v>
      </c>
    </row>
    <row r="93" spans="3:11">
      <c r="C93" s="24"/>
      <c r="D93" s="24">
        <v>-7.8935000000000004</v>
      </c>
      <c r="E93" s="24">
        <v>-4.5732999999999997</v>
      </c>
      <c r="F93" s="24">
        <v>-1.9289000000000001</v>
      </c>
      <c r="G93" s="24">
        <v>-2.0110000000000001</v>
      </c>
      <c r="I93" s="48">
        <v>3.8912</v>
      </c>
      <c r="J93" s="49">
        <f t="shared" si="4"/>
        <v>-4.1016750000000002</v>
      </c>
      <c r="K93" s="49">
        <f t="shared" si="5"/>
        <v>5.8053466735415594E-2</v>
      </c>
    </row>
    <row r="94" spans="3:11">
      <c r="C94" s="24"/>
      <c r="D94" s="24">
        <v>-7.9358000000000004</v>
      </c>
      <c r="E94" s="24">
        <v>-4.6212</v>
      </c>
      <c r="F94" s="24">
        <v>-1.9553</v>
      </c>
      <c r="G94" s="24">
        <v>-2.0131999999999999</v>
      </c>
      <c r="I94" s="48">
        <v>4.0975000000000001</v>
      </c>
      <c r="J94" s="49">
        <f t="shared" si="4"/>
        <v>-4.1313750000000002</v>
      </c>
      <c r="K94" s="49">
        <f t="shared" si="5"/>
        <v>4.0941482630700986E-2</v>
      </c>
    </row>
    <row r="104" spans="2:11">
      <c r="B104" s="46" t="s">
        <v>7</v>
      </c>
    </row>
    <row r="105" spans="2:11">
      <c r="B105" t="s">
        <v>135</v>
      </c>
    </row>
    <row r="107" spans="2:11">
      <c r="I107" s="46" t="s">
        <v>13</v>
      </c>
      <c r="J107" s="46" t="s">
        <v>136</v>
      </c>
      <c r="K107" s="46" t="s">
        <v>137</v>
      </c>
    </row>
    <row r="108" spans="2:11">
      <c r="C108" s="50"/>
      <c r="D108" s="24">
        <v>0</v>
      </c>
      <c r="E108" s="24">
        <v>0</v>
      </c>
      <c r="F108" s="24">
        <v>0</v>
      </c>
      <c r="G108" s="24">
        <v>0</v>
      </c>
      <c r="H108" s="51"/>
      <c r="I108" s="48">
        <v>-3.6023999999999998</v>
      </c>
      <c r="J108" s="52">
        <f>AVERAGE(D108:G108)</f>
        <v>0</v>
      </c>
      <c r="K108" s="52">
        <f>STDEV(F108:G108)</f>
        <v>0</v>
      </c>
    </row>
    <row r="109" spans="2:11">
      <c r="C109" s="50"/>
      <c r="D109" s="24">
        <v>-8.9910000000000004E-2</v>
      </c>
      <c r="E109" s="24">
        <v>-1.0574999999999999E-2</v>
      </c>
      <c r="F109" s="24">
        <v>6.8285999999999998E-3</v>
      </c>
      <c r="G109" s="24">
        <v>-5.1283000000000002E-2</v>
      </c>
      <c r="H109" s="51"/>
      <c r="I109" s="48">
        <v>-3.3754</v>
      </c>
      <c r="J109" s="52">
        <f t="shared" ref="J109:J146" si="6">AVERAGE(D109:G109)</f>
        <v>-3.6234849999999999E-2</v>
      </c>
      <c r="K109" s="52">
        <f t="shared" ref="K109:K146" si="7">STDEV(F109:G109)</f>
        <v>4.1091106425600175E-2</v>
      </c>
    </row>
    <row r="110" spans="2:11">
      <c r="C110" s="50"/>
      <c r="D110" s="24">
        <v>-0.10562000000000001</v>
      </c>
      <c r="E110" s="24">
        <v>2.0789999999999999E-2</v>
      </c>
      <c r="F110" s="24">
        <v>1.1521E-2</v>
      </c>
      <c r="G110" s="24">
        <v>-3.7883E-2</v>
      </c>
      <c r="H110" s="51"/>
      <c r="I110" s="48">
        <v>-3.2433999999999998</v>
      </c>
      <c r="J110" s="52">
        <f t="shared" si="6"/>
        <v>-2.7798E-2</v>
      </c>
      <c r="K110" s="52">
        <f t="shared" si="7"/>
        <v>3.4933903417740192E-2</v>
      </c>
    </row>
    <row r="111" spans="2:11">
      <c r="C111" s="50"/>
      <c r="D111" s="24">
        <v>6.8541000000000005E-2</v>
      </c>
      <c r="E111" s="24">
        <v>0.22706999999999999</v>
      </c>
      <c r="F111" s="24">
        <v>0.17391999999999999</v>
      </c>
      <c r="G111" s="24">
        <v>0.17626</v>
      </c>
      <c r="H111" s="51"/>
      <c r="I111" s="48">
        <v>-3.0670000000000002</v>
      </c>
      <c r="J111" s="52">
        <f t="shared" si="6"/>
        <v>0.16144775</v>
      </c>
      <c r="K111" s="52">
        <f t="shared" si="7"/>
        <v>1.6546298679765274E-3</v>
      </c>
    </row>
    <row r="112" spans="2:11">
      <c r="C112" s="50"/>
      <c r="D112" s="24">
        <v>0.24010999999999999</v>
      </c>
      <c r="E112" s="24">
        <v>0.39845000000000003</v>
      </c>
      <c r="F112" s="24">
        <v>0.40238000000000002</v>
      </c>
      <c r="G112" s="24">
        <v>0.50665000000000004</v>
      </c>
      <c r="H112" s="51"/>
      <c r="I112" s="48">
        <v>-2.8837000000000002</v>
      </c>
      <c r="J112" s="52">
        <f t="shared" si="6"/>
        <v>0.38689750000000001</v>
      </c>
      <c r="K112" s="52">
        <f t="shared" si="7"/>
        <v>7.3730024074321499E-2</v>
      </c>
    </row>
    <row r="113" spans="3:11">
      <c r="C113" s="50"/>
      <c r="D113" s="24">
        <v>0.98126000000000002</v>
      </c>
      <c r="E113" s="24">
        <v>0.72767999999999999</v>
      </c>
      <c r="F113" s="24">
        <v>0.56547999999999998</v>
      </c>
      <c r="G113" s="24">
        <v>0.74753999999999998</v>
      </c>
      <c r="H113" s="51"/>
      <c r="I113" s="48">
        <v>-2.7101000000000002</v>
      </c>
      <c r="J113" s="52">
        <f t="shared" si="6"/>
        <v>0.75548999999999999</v>
      </c>
      <c r="K113" s="52">
        <f t="shared" si="7"/>
        <v>0.12873586058282338</v>
      </c>
    </row>
    <row r="114" spans="3:11">
      <c r="C114" s="50"/>
      <c r="D114" s="24">
        <v>1.0273000000000001</v>
      </c>
      <c r="E114" s="24">
        <v>0.36998999999999999</v>
      </c>
      <c r="F114" s="24">
        <v>-0.26722000000000001</v>
      </c>
      <c r="G114" s="24">
        <v>0.1384</v>
      </c>
      <c r="H114" s="51"/>
      <c r="I114" s="48">
        <v>-2.5152000000000001</v>
      </c>
      <c r="J114" s="52">
        <f t="shared" si="6"/>
        <v>0.31711750000000005</v>
      </c>
      <c r="K114" s="52">
        <f t="shared" si="7"/>
        <v>0.28681665258488742</v>
      </c>
    </row>
    <row r="115" spans="3:11">
      <c r="C115" s="50"/>
      <c r="D115" s="24">
        <v>-1.5269999999999999</v>
      </c>
      <c r="E115" s="24">
        <v>-1.2611000000000001</v>
      </c>
      <c r="F115" s="24">
        <v>-2.0383</v>
      </c>
      <c r="G115" s="24">
        <v>-1.6474</v>
      </c>
      <c r="H115" s="51"/>
      <c r="I115" s="48">
        <v>-2.2885</v>
      </c>
      <c r="J115" s="52">
        <f t="shared" si="6"/>
        <v>-1.6184499999999999</v>
      </c>
      <c r="K115" s="52">
        <f t="shared" si="7"/>
        <v>0.27640804076582209</v>
      </c>
    </row>
    <row r="116" spans="3:11">
      <c r="C116" s="50"/>
      <c r="D116" s="24">
        <v>-3.1225999999999998</v>
      </c>
      <c r="E116" s="24">
        <v>-1.9619</v>
      </c>
      <c r="F116" s="24">
        <v>-2.5381999999999998</v>
      </c>
      <c r="G116" s="24">
        <v>-2.4824999999999999</v>
      </c>
      <c r="H116" s="51"/>
      <c r="I116" s="48">
        <v>-2.0886999999999998</v>
      </c>
      <c r="J116" s="52">
        <f t="shared" si="6"/>
        <v>-2.5263</v>
      </c>
      <c r="K116" s="52">
        <f>STDEV(F116:G116)</f>
        <v>3.9385847712090596E-2</v>
      </c>
    </row>
    <row r="117" spans="3:11">
      <c r="C117" s="50"/>
      <c r="D117" s="24">
        <v>-3.1861999999999999</v>
      </c>
      <c r="E117" s="24">
        <v>-1.5692999999999999</v>
      </c>
      <c r="F117" s="24">
        <v>-2.2132999999999998</v>
      </c>
      <c r="G117" s="24">
        <v>-2.1044</v>
      </c>
      <c r="H117" s="51"/>
      <c r="I117" s="48">
        <v>-1.8773</v>
      </c>
      <c r="J117" s="52">
        <f t="shared" si="6"/>
        <v>-2.2683</v>
      </c>
      <c r="K117" s="52">
        <f t="shared" si="7"/>
        <v>7.7003928471214858E-2</v>
      </c>
    </row>
    <row r="118" spans="3:11">
      <c r="C118" s="50"/>
      <c r="D118" s="24">
        <v>-3.0348000000000002</v>
      </c>
      <c r="E118" s="24">
        <v>-0.82606000000000002</v>
      </c>
      <c r="F118" s="24">
        <v>-1.1873</v>
      </c>
      <c r="G118" s="24">
        <v>-0.91276000000000002</v>
      </c>
      <c r="H118" s="51"/>
      <c r="I118" s="48">
        <v>-1.7188000000000001</v>
      </c>
      <c r="J118" s="52">
        <f t="shared" si="6"/>
        <v>-1.4902299999999999</v>
      </c>
      <c r="K118" s="52">
        <f t="shared" si="7"/>
        <v>0.19412909570695414</v>
      </c>
    </row>
    <row r="119" spans="3:11">
      <c r="C119" s="50"/>
      <c r="D119" s="24">
        <v>-1.8368</v>
      </c>
      <c r="E119" s="24">
        <v>0.84499000000000002</v>
      </c>
      <c r="F119" s="24">
        <v>1.1618999999999999</v>
      </c>
      <c r="G119" s="24">
        <v>1.4218</v>
      </c>
      <c r="H119" s="51"/>
      <c r="I119" s="48">
        <v>-1.5481</v>
      </c>
      <c r="J119" s="52">
        <f t="shared" si="6"/>
        <v>0.39797249999999995</v>
      </c>
      <c r="K119" s="52">
        <f t="shared" si="7"/>
        <v>0.18377705243038295</v>
      </c>
    </row>
    <row r="120" spans="3:11">
      <c r="C120" s="50"/>
      <c r="D120" s="24">
        <v>1.2787999999999999</v>
      </c>
      <c r="E120" s="24">
        <v>4.0271999999999997</v>
      </c>
      <c r="F120" s="24">
        <v>4.4212999999999996</v>
      </c>
      <c r="G120" s="24">
        <v>4.6159999999999997</v>
      </c>
      <c r="H120" s="51"/>
      <c r="I120" s="48">
        <v>-1.3479000000000001</v>
      </c>
      <c r="J120" s="52">
        <f t="shared" si="6"/>
        <v>3.5858249999999998</v>
      </c>
      <c r="K120" s="52">
        <f t="shared" si="7"/>
        <v>0.13767369029702087</v>
      </c>
    </row>
    <row r="121" spans="3:11">
      <c r="C121" s="50"/>
      <c r="D121" s="24">
        <v>4.3076999999999996</v>
      </c>
      <c r="E121" s="24">
        <v>6.7079000000000004</v>
      </c>
      <c r="F121" s="24">
        <v>7.1901000000000002</v>
      </c>
      <c r="G121" s="24">
        <v>7.4546000000000001</v>
      </c>
      <c r="H121" s="51"/>
      <c r="I121" s="48">
        <v>-1.1871</v>
      </c>
      <c r="J121" s="52">
        <f t="shared" si="6"/>
        <v>6.4150749999999999</v>
      </c>
      <c r="K121" s="52">
        <f t="shared" si="7"/>
        <v>0.18702974362384178</v>
      </c>
    </row>
    <row r="122" spans="3:11">
      <c r="C122" s="50"/>
      <c r="D122" s="24">
        <v>7.1022999999999996</v>
      </c>
      <c r="E122" s="24">
        <v>8.6554000000000002</v>
      </c>
      <c r="F122" s="24">
        <v>9.4</v>
      </c>
      <c r="G122" s="24">
        <v>9.7852999999999994</v>
      </c>
      <c r="H122" s="51"/>
      <c r="I122" s="48">
        <v>-1.0456000000000001</v>
      </c>
      <c r="J122" s="52">
        <f t="shared" si="6"/>
        <v>8.7357499999999995</v>
      </c>
      <c r="K122" s="52">
        <f t="shared" si="7"/>
        <v>0.27244824279117613</v>
      </c>
    </row>
    <row r="123" spans="3:11">
      <c r="C123" s="50"/>
      <c r="D123" s="24">
        <v>11.113</v>
      </c>
      <c r="E123" s="24">
        <v>11.784000000000001</v>
      </c>
      <c r="F123" s="24">
        <v>12.465</v>
      </c>
      <c r="G123" s="24">
        <v>12.865</v>
      </c>
      <c r="H123" s="51"/>
      <c r="I123" s="48">
        <v>-0.87497000000000003</v>
      </c>
      <c r="J123" s="52">
        <f t="shared" si="6"/>
        <v>12.056749999999999</v>
      </c>
      <c r="K123" s="52">
        <f t="shared" si="7"/>
        <v>0.28284271247461928</v>
      </c>
    </row>
    <row r="124" spans="3:11">
      <c r="C124" s="50"/>
      <c r="D124" s="24">
        <v>14.148999999999999</v>
      </c>
      <c r="E124" s="24">
        <v>14.821999999999999</v>
      </c>
      <c r="F124" s="24">
        <v>15.576000000000001</v>
      </c>
      <c r="G124" s="24">
        <v>16.167000000000002</v>
      </c>
      <c r="H124" s="51"/>
      <c r="I124" s="48">
        <v>-0.66363000000000005</v>
      </c>
      <c r="J124" s="52">
        <f t="shared" si="6"/>
        <v>15.1785</v>
      </c>
      <c r="K124" s="52">
        <f t="shared" si="7"/>
        <v>0.41790010768125035</v>
      </c>
    </row>
    <row r="125" spans="3:11">
      <c r="C125" s="50"/>
      <c r="D125" s="24">
        <v>14.798999999999999</v>
      </c>
      <c r="E125" s="24">
        <v>15.627000000000001</v>
      </c>
      <c r="F125" s="24">
        <v>16.506</v>
      </c>
      <c r="G125" s="24">
        <v>17.417999999999999</v>
      </c>
      <c r="H125" s="51"/>
      <c r="I125" s="48">
        <v>-0.45818999999999999</v>
      </c>
      <c r="J125" s="52">
        <f t="shared" si="6"/>
        <v>16.087499999999999</v>
      </c>
      <c r="K125" s="52">
        <f t="shared" si="7"/>
        <v>0.64488138444213072</v>
      </c>
    </row>
    <row r="126" spans="3:11">
      <c r="C126" s="50"/>
      <c r="D126" s="24">
        <v>15.488</v>
      </c>
      <c r="E126" s="24">
        <v>16.452999999999999</v>
      </c>
      <c r="F126" s="24">
        <v>17.134</v>
      </c>
      <c r="G126" s="24">
        <v>18.079999999999998</v>
      </c>
      <c r="H126" s="51"/>
      <c r="I126" s="48">
        <v>-0.25524999999999998</v>
      </c>
      <c r="J126" s="52">
        <f t="shared" si="6"/>
        <v>16.78875</v>
      </c>
      <c r="K126" s="52">
        <f t="shared" si="7"/>
        <v>0.66892301500247253</v>
      </c>
    </row>
    <row r="127" spans="3:11">
      <c r="C127" s="50"/>
      <c r="D127" s="24">
        <v>15.318</v>
      </c>
      <c r="E127" s="24">
        <v>16.744</v>
      </c>
      <c r="F127" s="24">
        <v>17.273</v>
      </c>
      <c r="G127" s="24">
        <v>18.323</v>
      </c>
      <c r="H127" s="51"/>
      <c r="I127" s="48">
        <v>-5.8694000000000003E-2</v>
      </c>
      <c r="J127" s="52">
        <f t="shared" si="6"/>
        <v>16.914499999999997</v>
      </c>
      <c r="K127" s="52">
        <f t="shared" si="7"/>
        <v>0.74246212024587532</v>
      </c>
    </row>
    <row r="128" spans="3:11">
      <c r="C128" s="50"/>
      <c r="D128" s="24">
        <v>14.903</v>
      </c>
      <c r="E128" s="24">
        <v>16.515999999999998</v>
      </c>
      <c r="F128" s="24">
        <v>16.984000000000002</v>
      </c>
      <c r="G128" s="24">
        <v>18.029</v>
      </c>
      <c r="H128" s="51"/>
      <c r="I128" s="48">
        <v>0</v>
      </c>
      <c r="J128" s="52">
        <f t="shared" si="6"/>
        <v>16.608000000000001</v>
      </c>
      <c r="K128" s="52">
        <f t="shared" si="7"/>
        <v>0.73892658633994079</v>
      </c>
    </row>
    <row r="129" spans="3:11">
      <c r="C129" s="50"/>
      <c r="D129" s="24">
        <v>15.411</v>
      </c>
      <c r="E129" s="24">
        <v>16.739000000000001</v>
      </c>
      <c r="F129" s="24">
        <v>16.312999999999999</v>
      </c>
      <c r="G129" s="24">
        <v>16.911999999999999</v>
      </c>
      <c r="H129" s="51"/>
      <c r="I129" s="48">
        <v>9.7212999999999994E-2</v>
      </c>
      <c r="J129" s="52">
        <f t="shared" si="6"/>
        <v>16.34375</v>
      </c>
      <c r="K129" s="52">
        <f t="shared" si="7"/>
        <v>0.4235569619307421</v>
      </c>
    </row>
    <row r="130" spans="3:11">
      <c r="C130" s="50"/>
      <c r="D130" s="24">
        <v>14.734999999999999</v>
      </c>
      <c r="E130" s="24">
        <v>15.457000000000001</v>
      </c>
      <c r="F130" s="24">
        <v>15.013999999999999</v>
      </c>
      <c r="G130" s="24">
        <v>15.590999999999999</v>
      </c>
      <c r="H130" s="51"/>
      <c r="I130" s="48">
        <v>0.49448999999999999</v>
      </c>
      <c r="J130" s="52">
        <f t="shared" si="6"/>
        <v>15.199250000000001</v>
      </c>
      <c r="K130" s="52">
        <f t="shared" si="7"/>
        <v>0.40800061274463789</v>
      </c>
    </row>
    <row r="131" spans="3:11">
      <c r="C131" s="50"/>
      <c r="D131" s="24">
        <v>12.811999999999999</v>
      </c>
      <c r="E131" s="24">
        <v>13.428000000000001</v>
      </c>
      <c r="F131" s="24">
        <v>12.798</v>
      </c>
      <c r="G131" s="24">
        <v>13.282</v>
      </c>
      <c r="H131" s="51"/>
      <c r="I131" s="48">
        <v>0.71579999999999999</v>
      </c>
      <c r="J131" s="52">
        <f t="shared" si="6"/>
        <v>13.080000000000002</v>
      </c>
      <c r="K131" s="52">
        <f t="shared" si="7"/>
        <v>0.34223968209428901</v>
      </c>
    </row>
    <row r="132" spans="3:11">
      <c r="C132" s="50"/>
      <c r="D132" s="24">
        <v>9.9196000000000009</v>
      </c>
      <c r="E132" s="24">
        <v>9.8574000000000002</v>
      </c>
      <c r="F132" s="24">
        <v>8.2086000000000006</v>
      </c>
      <c r="G132" s="24">
        <v>8.6341999999999999</v>
      </c>
      <c r="H132" s="51"/>
      <c r="I132" s="48">
        <v>0.88592000000000004</v>
      </c>
      <c r="J132" s="52">
        <f t="shared" si="6"/>
        <v>9.1549499999999995</v>
      </c>
      <c r="K132" s="52">
        <f t="shared" si="7"/>
        <v>0.30094464607299415</v>
      </c>
    </row>
    <row r="133" spans="3:11">
      <c r="C133" s="50"/>
      <c r="D133" s="24">
        <v>6.56</v>
      </c>
      <c r="E133" s="24">
        <v>6.0034999999999998</v>
      </c>
      <c r="F133" s="24">
        <v>4.1856999999999998</v>
      </c>
      <c r="G133" s="24">
        <v>5.0743</v>
      </c>
      <c r="H133" s="51"/>
      <c r="I133" s="48">
        <v>1.1447000000000001</v>
      </c>
      <c r="J133" s="52">
        <f t="shared" si="6"/>
        <v>5.4558749999999998</v>
      </c>
      <c r="K133" s="52">
        <f t="shared" si="7"/>
        <v>0.6283350857623663</v>
      </c>
    </row>
    <row r="134" spans="3:11">
      <c r="C134" s="50"/>
      <c r="D134" s="24">
        <v>2.3370000000000002</v>
      </c>
      <c r="E134" s="24">
        <v>1.9129</v>
      </c>
      <c r="F134" s="24">
        <v>0.31601000000000001</v>
      </c>
      <c r="G134" s="24">
        <v>1.6753</v>
      </c>
      <c r="H134" s="51"/>
      <c r="I134" s="48">
        <v>1.3154999999999999</v>
      </c>
      <c r="J134" s="52">
        <f t="shared" si="6"/>
        <v>1.5603025000000001</v>
      </c>
      <c r="K134" s="52">
        <f t="shared" si="7"/>
        <v>0.96116317659906247</v>
      </c>
    </row>
    <row r="135" spans="3:11">
      <c r="C135" s="50"/>
      <c r="D135" s="24">
        <v>0.20868999999999999</v>
      </c>
      <c r="E135" s="24">
        <v>-8.3197999999999994E-2</v>
      </c>
      <c r="F135" s="24">
        <v>-1.4298</v>
      </c>
      <c r="G135" s="24">
        <v>7.8589999999999993E-2</v>
      </c>
      <c r="H135" s="51"/>
      <c r="I135" s="48">
        <v>1.4963</v>
      </c>
      <c r="J135" s="52">
        <f t="shared" si="6"/>
        <v>-0.30642950000000002</v>
      </c>
      <c r="K135" s="52">
        <f t="shared" si="7"/>
        <v>1.0665927976739764</v>
      </c>
    </row>
    <row r="136" spans="3:11">
      <c r="C136" s="50"/>
      <c r="D136" s="24">
        <v>-1.1979</v>
      </c>
      <c r="E136" s="24">
        <v>-1.4242999999999999</v>
      </c>
      <c r="F136" s="24">
        <v>-2.8719999999999999</v>
      </c>
      <c r="G136" s="24">
        <v>-1.6989000000000001</v>
      </c>
      <c r="H136" s="51"/>
      <c r="I136" s="48">
        <v>1.6198999999999999</v>
      </c>
      <c r="J136" s="52">
        <f t="shared" si="6"/>
        <v>-1.7982749999999998</v>
      </c>
      <c r="K136" s="52">
        <f t="shared" si="7"/>
        <v>0.8295069650099397</v>
      </c>
    </row>
    <row r="137" spans="3:11">
      <c r="C137" s="50"/>
      <c r="D137" s="24">
        <v>-0.89390000000000003</v>
      </c>
      <c r="E137" s="24">
        <v>-0.81250999999999995</v>
      </c>
      <c r="F137" s="24">
        <v>-2.5819999999999999</v>
      </c>
      <c r="G137" s="24">
        <v>-2.3532000000000002</v>
      </c>
      <c r="H137" s="51"/>
      <c r="I137" s="48">
        <v>1.7923</v>
      </c>
      <c r="J137" s="52">
        <f t="shared" si="6"/>
        <v>-1.6604025</v>
      </c>
      <c r="K137" s="52">
        <f t="shared" si="7"/>
        <v>0.16178603153548185</v>
      </c>
    </row>
    <row r="138" spans="3:11">
      <c r="C138" s="50"/>
      <c r="D138" s="24">
        <v>0.49341000000000002</v>
      </c>
      <c r="E138" s="24">
        <v>0.68235000000000001</v>
      </c>
      <c r="F138" s="24">
        <v>-1.0058</v>
      </c>
      <c r="G138" s="24">
        <v>-1.3136000000000001</v>
      </c>
      <c r="H138" s="51"/>
      <c r="I138" s="48">
        <v>2.0019999999999998</v>
      </c>
      <c r="J138" s="52">
        <f t="shared" si="6"/>
        <v>-0.28591000000000005</v>
      </c>
      <c r="K138" s="52">
        <f t="shared" si="7"/>
        <v>0.21764746724922041</v>
      </c>
    </row>
    <row r="139" spans="3:11">
      <c r="C139" s="50"/>
      <c r="D139" s="24">
        <v>3.0323000000000002</v>
      </c>
      <c r="E139" s="24">
        <v>3.4485000000000001</v>
      </c>
      <c r="F139" s="24">
        <v>1.6957</v>
      </c>
      <c r="G139" s="24">
        <v>0.98773</v>
      </c>
      <c r="H139" s="51"/>
      <c r="I139" s="48">
        <v>2.1937000000000002</v>
      </c>
      <c r="J139" s="52">
        <f t="shared" si="6"/>
        <v>2.2910575</v>
      </c>
      <c r="K139" s="52">
        <f t="shared" si="7"/>
        <v>0.50061038787663992</v>
      </c>
    </row>
    <row r="140" spans="3:11">
      <c r="C140" s="50"/>
      <c r="D140" s="24">
        <v>4.0183</v>
      </c>
      <c r="E140" s="24">
        <v>5.0433000000000003</v>
      </c>
      <c r="F140" s="24">
        <v>3.4020000000000001</v>
      </c>
      <c r="G140" s="24">
        <v>2.5432999999999999</v>
      </c>
      <c r="H140" s="51"/>
      <c r="I140" s="48">
        <v>2.4367999999999999</v>
      </c>
      <c r="J140" s="52">
        <f t="shared" si="6"/>
        <v>3.751725</v>
      </c>
      <c r="K140" s="52">
        <f t="shared" si="7"/>
        <v>0.60719259300489303</v>
      </c>
    </row>
    <row r="141" spans="3:11">
      <c r="C141" s="50"/>
      <c r="D141" s="24">
        <v>4.0674000000000001</v>
      </c>
      <c r="E141" s="24">
        <v>5.0641999999999996</v>
      </c>
      <c r="F141" s="24">
        <v>3.7025999999999999</v>
      </c>
      <c r="G141" s="24">
        <v>2.9609000000000001</v>
      </c>
      <c r="H141" s="51"/>
      <c r="I141" s="48">
        <v>2.6254</v>
      </c>
      <c r="J141" s="52">
        <f t="shared" si="6"/>
        <v>3.9487749999999999</v>
      </c>
      <c r="K141" s="52">
        <f t="shared" si="7"/>
        <v>0.52446109960606579</v>
      </c>
    </row>
    <row r="142" spans="3:11">
      <c r="C142" s="50"/>
      <c r="D142" s="24">
        <v>3.7942999999999998</v>
      </c>
      <c r="E142" s="24">
        <v>4.5082000000000004</v>
      </c>
      <c r="F142" s="24">
        <v>3.2128999999999999</v>
      </c>
      <c r="G142" s="24">
        <v>2.5028000000000001</v>
      </c>
      <c r="H142" s="51"/>
      <c r="I142" s="48">
        <v>2.8168000000000002</v>
      </c>
      <c r="J142" s="52">
        <f t="shared" si="6"/>
        <v>3.5045500000000001</v>
      </c>
      <c r="K142" s="52">
        <f t="shared" si="7"/>
        <v>0.50211652532056672</v>
      </c>
    </row>
    <row r="143" spans="3:11">
      <c r="C143" s="50"/>
      <c r="D143" s="24">
        <v>3.5680000000000001</v>
      </c>
      <c r="E143" s="24">
        <v>4.2568999999999999</v>
      </c>
      <c r="F143" s="24">
        <v>2.9944000000000002</v>
      </c>
      <c r="G143" s="24">
        <v>2.2730999999999999</v>
      </c>
      <c r="H143" s="51"/>
      <c r="I143" s="48">
        <v>3.0286</v>
      </c>
      <c r="J143" s="52">
        <f t="shared" si="6"/>
        <v>3.2730999999999999</v>
      </c>
      <c r="K143" s="52">
        <f t="shared" si="7"/>
        <v>0.51003612126985665</v>
      </c>
    </row>
    <row r="144" spans="3:11">
      <c r="C144" s="50"/>
      <c r="D144" s="24">
        <v>3.4257</v>
      </c>
      <c r="E144" s="24">
        <v>4.1627000000000001</v>
      </c>
      <c r="F144" s="24">
        <v>2.8940000000000001</v>
      </c>
      <c r="G144" s="24">
        <v>2.1844999999999999</v>
      </c>
      <c r="H144" s="51"/>
      <c r="I144" s="48">
        <v>3.1785000000000001</v>
      </c>
      <c r="J144" s="52">
        <f t="shared" si="6"/>
        <v>3.166725</v>
      </c>
      <c r="K144" s="52">
        <f t="shared" si="7"/>
        <v>0.50169226125185673</v>
      </c>
    </row>
    <row r="145" spans="3:11">
      <c r="C145" s="51"/>
      <c r="D145" s="24">
        <v>3.4037000000000002</v>
      </c>
      <c r="E145" s="24">
        <v>4.2061000000000002</v>
      </c>
      <c r="F145" s="24">
        <v>2.9053</v>
      </c>
      <c r="G145" s="24">
        <v>2.1993</v>
      </c>
      <c r="H145" s="51"/>
      <c r="I145" s="48">
        <v>3.3159000000000001</v>
      </c>
      <c r="J145" s="52">
        <f t="shared" si="6"/>
        <v>3.1786000000000003</v>
      </c>
      <c r="K145" s="52">
        <f t="shared" si="7"/>
        <v>0.49921738751770339</v>
      </c>
    </row>
    <row r="146" spans="3:11">
      <c r="D146" s="24">
        <v>3.3706999999999998</v>
      </c>
      <c r="E146" s="24">
        <v>4.2236000000000002</v>
      </c>
      <c r="F146" s="24">
        <v>2.8956</v>
      </c>
      <c r="G146" s="24">
        <v>2.1945999999999999</v>
      </c>
      <c r="I146" s="48">
        <v>3.4771999999999998</v>
      </c>
      <c r="J146" s="52">
        <f t="shared" si="6"/>
        <v>3.171125</v>
      </c>
      <c r="K146" s="52">
        <f t="shared" si="7"/>
        <v>0.49568185361177147</v>
      </c>
    </row>
    <row r="147" spans="3:11">
      <c r="D147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BBB_permeability_asymm_PMF</vt:lpstr>
      <vt:lpstr>BBB_permeability_sym_PMF</vt:lpstr>
      <vt:lpstr>PMF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Jorgensen</cp:lastModifiedBy>
  <dcterms:created xsi:type="dcterms:W3CDTF">2026-05-17T12:06:11Z</dcterms:created>
  <dcterms:modified xsi:type="dcterms:W3CDTF">2026-05-17T20:57:18Z</dcterms:modified>
</cp:coreProperties>
</file>